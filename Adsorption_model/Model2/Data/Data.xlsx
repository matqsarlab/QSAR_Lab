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Adsorption/Modelowanie/Data/"/>
    </mc:Choice>
  </mc:AlternateContent>
  <xr:revisionPtr revIDLastSave="0" documentId="8_{97CEFB3C-E5BA-DB42-981C-02634214527C}" xr6:coauthVersionLast="47" xr6:coauthVersionMax="47" xr10:uidLastSave="{00000000-0000-0000-0000-000000000000}"/>
  <bookViews>
    <workbookView xWindow="600" yWindow="960" windowWidth="27240" windowHeight="15900" activeTab="1" xr2:uid="{0EB3B72C-09D9-1E46-A2EF-8A53CB225367}"/>
  </bookViews>
  <sheets>
    <sheet name="Orginal" sheetId="1" r:id="rId1"/>
    <sheet name="To_Cal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J27" i="1"/>
  <c r="J26" i="1"/>
  <c r="J25" i="1"/>
  <c r="I24" i="1"/>
  <c r="H24" i="1"/>
  <c r="J24" i="1" s="1"/>
  <c r="J23" i="1"/>
  <c r="J22" i="1"/>
  <c r="I21" i="1"/>
  <c r="H21" i="1"/>
  <c r="J21" i="1" s="1"/>
  <c r="I20" i="1"/>
  <c r="H20" i="1"/>
  <c r="J20" i="1" s="1"/>
  <c r="J19" i="1"/>
  <c r="J18" i="1"/>
  <c r="I17" i="1"/>
  <c r="H17" i="1"/>
  <c r="J17" i="1" s="1"/>
  <c r="I16" i="1"/>
  <c r="H16" i="1"/>
  <c r="J16" i="1" s="1"/>
  <c r="J15" i="1"/>
  <c r="I14" i="1"/>
  <c r="H14" i="1"/>
  <c r="J14" i="1" s="1"/>
  <c r="J13" i="1"/>
  <c r="J12" i="1"/>
  <c r="J11" i="1"/>
  <c r="J10" i="1"/>
  <c r="J9" i="1"/>
  <c r="J8" i="1"/>
  <c r="J7" i="1"/>
  <c r="J6" i="1"/>
  <c r="I5" i="1"/>
  <c r="H5" i="1"/>
  <c r="J5" i="1" s="1"/>
  <c r="I4" i="1"/>
  <c r="J4" i="1" s="1"/>
  <c r="H4" i="1"/>
  <c r="I3" i="1"/>
  <c r="H3" i="1"/>
  <c r="J3" i="1" s="1"/>
  <c r="J2" i="1"/>
  <c r="J28" i="2"/>
  <c r="J27" i="2"/>
  <c r="J26" i="2"/>
  <c r="J25" i="2"/>
  <c r="I24" i="2"/>
  <c r="H24" i="2"/>
  <c r="J24" i="2" s="1"/>
  <c r="J23" i="2"/>
  <c r="J22" i="2"/>
  <c r="I21" i="2"/>
  <c r="H21" i="2"/>
  <c r="J21" i="2" s="1"/>
  <c r="I20" i="2"/>
  <c r="H20" i="2"/>
  <c r="J20" i="2" s="1"/>
  <c r="J19" i="2"/>
  <c r="J18" i="2"/>
  <c r="I17" i="2"/>
  <c r="H17" i="2"/>
  <c r="J17" i="2" s="1"/>
  <c r="I16" i="2"/>
  <c r="H16" i="2"/>
  <c r="J16" i="2" s="1"/>
  <c r="J15" i="2"/>
  <c r="I14" i="2"/>
  <c r="H14" i="2"/>
  <c r="J14" i="2" s="1"/>
  <c r="J13" i="2"/>
  <c r="J12" i="2"/>
  <c r="J11" i="2"/>
  <c r="J10" i="2"/>
  <c r="J9" i="2"/>
  <c r="J8" i="2"/>
  <c r="J7" i="2"/>
  <c r="J6" i="2"/>
  <c r="I5" i="2"/>
  <c r="H5" i="2"/>
  <c r="J5" i="2" s="1"/>
  <c r="I4" i="2"/>
  <c r="J4" i="2" s="1"/>
  <c r="H4" i="2"/>
  <c r="I3" i="2"/>
  <c r="H3" i="2"/>
  <c r="J3" i="2" s="1"/>
  <c r="J2" i="2"/>
</calcChain>
</file>

<file path=xl/sharedStrings.xml><?xml version="1.0" encoding="utf-8"?>
<sst xmlns="http://schemas.openxmlformats.org/spreadsheetml/2006/main" count="330" uniqueCount="84">
  <si>
    <t>Nazwa oryginalnego pliku</t>
  </si>
  <si>
    <t>NMs</t>
  </si>
  <si>
    <t>Number of rotable bonds / Å^2</t>
  </si>
  <si>
    <t>Molecular roughness / Å^2</t>
  </si>
  <si>
    <t>Σ Pauling electronegativity / Å^2</t>
  </si>
  <si>
    <t xml:space="preserve">IP (eV) E(cation)- E(neutral) </t>
  </si>
  <si>
    <t xml:space="preserve">EA (eV) E(neutral)-E(anion) </t>
  </si>
  <si>
    <t>HOMO eigenvalue (eV)</t>
  </si>
  <si>
    <t>LUMO eigenvalue (eV)</t>
  </si>
  <si>
    <t>HOMO/LUMO energy gap (absoulte value) (eV)</t>
  </si>
  <si>
    <t>Number of atoms / Å^2</t>
  </si>
  <si>
    <t>Number of lone-pair-donor atoms / Å^2</t>
  </si>
  <si>
    <t>Number of sp2 carbon atoms / Å^2</t>
  </si>
  <si>
    <t>Σ q_NBO (NBO partial atomic charges) Å^2 (a.u.)</t>
  </si>
  <si>
    <t>Σ q_Mull (Mulliken partial atomic charges) Å^2 (a.u.)</t>
  </si>
  <si>
    <t>Σ q_ESP (ESP-fitted partial atomic charges) Å^2 (a.u.)</t>
  </si>
  <si>
    <t>Dipole moment (Debye)</t>
  </si>
  <si>
    <t>Quadrupole moment (1/3 of trace of diagonalized matrix Q) (Debye×Å)</t>
  </si>
  <si>
    <t>non-metal mole fraction</t>
  </si>
  <si>
    <t>metal mole fraction</t>
  </si>
  <si>
    <t xml:space="preserve">FDV (-. +) (finite dipole vertical) (kcal/mol) </t>
  </si>
  <si>
    <t xml:space="preserve">FDV (+. -) (finite dipole vertical) (kcal/mol) </t>
  </si>
  <si>
    <t>FDH 1 (finite dipole horizontal) (kcal/mol)</t>
  </si>
  <si>
    <t>FDH 2 (finite dipole horizontal) (kcal/mol)</t>
  </si>
  <si>
    <t>SiO2-Q4-slab</t>
  </si>
  <si>
    <t>sio2quartz</t>
  </si>
  <si>
    <t>SiO2-Q2-slab</t>
  </si>
  <si>
    <t>sio2amorph</t>
  </si>
  <si>
    <t>TiO2-ana-101-6oh</t>
  </si>
  <si>
    <t>anatase101</t>
  </si>
  <si>
    <t>TiO2-rut-110-12oh</t>
  </si>
  <si>
    <t>rutile110</t>
  </si>
  <si>
    <t>TiO2-rut-100-11oh</t>
  </si>
  <si>
    <t>rutile100</t>
  </si>
  <si>
    <t>Fe2O3</t>
  </si>
  <si>
    <t>fe2o3</t>
  </si>
  <si>
    <t>CdSe-2m10-slab</t>
  </si>
  <si>
    <t>CdSe</t>
  </si>
  <si>
    <t>Au100</t>
  </si>
  <si>
    <t>Ag100</t>
  </si>
  <si>
    <t>Ag110</t>
  </si>
  <si>
    <t>Ag111</t>
  </si>
  <si>
    <t>C_amorph</t>
  </si>
  <si>
    <t>carbonblack</t>
  </si>
  <si>
    <t>CNT_OH_low</t>
  </si>
  <si>
    <t>swcntOH4</t>
  </si>
  <si>
    <t>CNT_COO-_low</t>
  </si>
  <si>
    <t>swcntCOOH3</t>
  </si>
  <si>
    <t>CNT_COO-_high</t>
  </si>
  <si>
    <t>CNT-15</t>
  </si>
  <si>
    <t>swcnt</t>
  </si>
  <si>
    <t>CNT_NH2_low</t>
  </si>
  <si>
    <t>swcntNH2-2</t>
  </si>
  <si>
    <t>CNT_NH2_high</t>
  </si>
  <si>
    <t>CNT_OH_high</t>
  </si>
  <si>
    <t>swcntOH14</t>
  </si>
  <si>
    <t>GO-30</t>
  </si>
  <si>
    <t>Graphene oxide</t>
  </si>
  <si>
    <t>red_GO-10</t>
  </si>
  <si>
    <t>Reduced graphene oxide</t>
  </si>
  <si>
    <t>graphene</t>
  </si>
  <si>
    <t>CNT_COOH_high</t>
  </si>
  <si>
    <t>CNT_COOH_low</t>
  </si>
  <si>
    <t>CNT_NH3+_low</t>
  </si>
  <si>
    <t>CNT_NH3+_high</t>
  </si>
  <si>
    <t>TiO2-ana-100_11oh</t>
  </si>
  <si>
    <t>anatase100</t>
  </si>
  <si>
    <t>Material</t>
  </si>
  <si>
    <t>ALA</t>
  </si>
  <si>
    <t>ARG</t>
  </si>
  <si>
    <t>ASN</t>
  </si>
  <si>
    <t>ASP</t>
  </si>
  <si>
    <t>CYS</t>
  </si>
  <si>
    <t>GLN</t>
  </si>
  <si>
    <t>GLU</t>
  </si>
  <si>
    <t>HIS</t>
  </si>
  <si>
    <t>ILE</t>
  </si>
  <si>
    <t>LEU</t>
  </si>
  <si>
    <t>LYS</t>
  </si>
  <si>
    <t>PHE</t>
  </si>
  <si>
    <t>PRO</t>
  </si>
  <si>
    <t>SER</t>
  </si>
  <si>
    <t>TRP</t>
  </si>
  <si>
    <t>TYR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</si>
</sst>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238"/>
    </font>
    <font>
      <sz val="12"/>
      <color rgb="FFE90AF5"/>
      <name val="Calibri"/>
      <family val="2"/>
    </font>
    <font>
      <sz val="12"/>
      <color rgb="FFE90AF5"/>
      <name val="Calibri"/>
      <family val="2"/>
      <charset val="238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5" fillId="0" borderId="0" xfId="0" applyFont="1"/>
    <xf numFmtId="0" fontId="6" fillId="0" borderId="0" xfId="0" applyFont="1"/>
    <xf numFmtId="11" fontId="0" fillId="0" borderId="0" xfId="0" applyNumberFormat="1"/>
    <xf numFmtId="0" fontId="7" fillId="0" borderId="0" xfId="0" applyFont="1"/>
    <xf numFmtId="0" fontId="8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1" fontId="5" fillId="0" borderId="0" xfId="0" applyNumberFormat="1" applyFont="1"/>
    <xf numFmtId="164" fontId="9" fillId="0" borderId="0" xfId="0" applyNumberFormat="1" applyFont="1"/>
    <xf numFmtId="0" fontId="9" fillId="0" borderId="0" xfId="0" applyFont="1"/>
    <xf numFmtId="11" fontId="8" fillId="0" borderId="0" xfId="0" applyNumberFormat="1" applyFont="1"/>
    <xf numFmtId="0" fontId="1" fillId="0" borderId="0" xfId="0" applyFont="1"/>
    <xf numFmtId="0" fontId="10" fillId="0" borderId="0" xfId="0" applyFont="1"/>
    <xf numFmtId="0" fontId="11" fillId="0" borderId="0" xfId="0" applyFont="1"/>
    <xf numFmtId="2" fontId="0" fillId="0" borderId="0" xfId="0" applyNumberFormat="1"/>
    <xf numFmtId="0" fontId="12" fillId="0" borderId="0" xfId="0" applyFont="1"/>
    <xf numFmtId="0" fontId="4" fillId="6" borderId="0" xfId="0" applyFont="1" applyFill="1"/>
    <xf numFmtId="0" fontId="4" fillId="3" borderId="0" xfId="0" applyFont="1" applyFill="1"/>
    <xf numFmtId="0" fontId="4" fillId="7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5CD3-7ED9-AC43-A7AB-1E7D54E72F20}">
  <dimension ref="A1:AQ28"/>
  <sheetViews>
    <sheetView workbookViewId="0">
      <selection sqref="A1:AQ28"/>
    </sheetView>
  </sheetViews>
  <sheetFormatPr baseColWidth="10" defaultRowHeight="16" x14ac:dyDescent="0.2"/>
  <cols>
    <col min="25" max="25" width="17.5" bestFit="1" customWidth="1"/>
    <col min="26" max="26" width="20.5" bestFit="1" customWidth="1"/>
  </cols>
  <sheetData>
    <row r="1" spans="1:43" ht="119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3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" t="s">
        <v>0</v>
      </c>
      <c r="Z1" s="1" t="s">
        <v>1</v>
      </c>
      <c r="AA1" s="27" t="s">
        <v>67</v>
      </c>
      <c r="AB1" s="9" t="s">
        <v>68</v>
      </c>
      <c r="AC1" s="9" t="s">
        <v>69</v>
      </c>
      <c r="AD1" s="9" t="s">
        <v>70</v>
      </c>
      <c r="AE1" s="9" t="s">
        <v>71</v>
      </c>
      <c r="AF1" s="9" t="s">
        <v>72</v>
      </c>
      <c r="AG1" s="9" t="s">
        <v>73</v>
      </c>
      <c r="AH1" s="9" t="s">
        <v>74</v>
      </c>
      <c r="AI1" s="28" t="s">
        <v>75</v>
      </c>
      <c r="AJ1" s="9" t="s">
        <v>76</v>
      </c>
      <c r="AK1" s="9" t="s">
        <v>77</v>
      </c>
      <c r="AL1" s="9" t="s">
        <v>78</v>
      </c>
      <c r="AM1" s="9" t="s">
        <v>79</v>
      </c>
      <c r="AN1" s="9" t="s">
        <v>80</v>
      </c>
      <c r="AO1" s="9" t="s">
        <v>81</v>
      </c>
      <c r="AP1" s="9" t="s">
        <v>82</v>
      </c>
      <c r="AQ1" s="9" t="s">
        <v>83</v>
      </c>
    </row>
    <row r="2" spans="1:43" x14ac:dyDescent="0.2">
      <c r="A2" t="s">
        <v>24</v>
      </c>
      <c r="B2" s="9" t="s">
        <v>25</v>
      </c>
      <c r="C2" s="10">
        <v>0.433</v>
      </c>
      <c r="D2">
        <v>0</v>
      </c>
      <c r="E2" s="11">
        <v>1.1299999999999999</v>
      </c>
      <c r="F2" s="10"/>
      <c r="G2" s="10"/>
      <c r="H2">
        <v>-6.6479999999999997</v>
      </c>
      <c r="I2">
        <v>-6.3019999999999996</v>
      </c>
      <c r="J2">
        <f>ABS(H2-I2)</f>
        <v>0.34600000000000009</v>
      </c>
      <c r="K2" s="10">
        <v>0.377</v>
      </c>
      <c r="L2">
        <v>0.26</v>
      </c>
      <c r="M2">
        <v>0</v>
      </c>
      <c r="N2" s="12">
        <v>-5.3800000000000002E-3</v>
      </c>
      <c r="O2" s="12">
        <v>-4.9500000000000004E-3</v>
      </c>
      <c r="P2" s="12">
        <v>-7.5000000000000002E-4</v>
      </c>
      <c r="Q2">
        <v>68.177000000000007</v>
      </c>
      <c r="R2">
        <v>-524.101</v>
      </c>
      <c r="S2">
        <v>1</v>
      </c>
      <c r="T2">
        <v>0</v>
      </c>
      <c r="U2" s="13">
        <v>105.1</v>
      </c>
      <c r="V2" s="13">
        <v>109.73</v>
      </c>
      <c r="W2" s="13">
        <v>104.78</v>
      </c>
      <c r="X2" s="13">
        <v>111.9</v>
      </c>
      <c r="Y2" t="s">
        <v>24</v>
      </c>
      <c r="Z2" s="29" t="s">
        <v>25</v>
      </c>
      <c r="AA2" s="29" t="s">
        <v>25</v>
      </c>
      <c r="AB2" s="27">
        <v>-0.47</v>
      </c>
      <c r="AC2" s="27">
        <v>-1.34</v>
      </c>
      <c r="AD2" s="27">
        <v>-0.81</v>
      </c>
      <c r="AE2" s="27">
        <v>-0.16</v>
      </c>
      <c r="AF2" s="27">
        <v>-0.67</v>
      </c>
      <c r="AG2" s="27">
        <v>-1.04</v>
      </c>
      <c r="AH2" s="27">
        <v>-0.46</v>
      </c>
      <c r="AI2" s="27">
        <v>-1.51</v>
      </c>
      <c r="AJ2" s="27">
        <v>-1.75</v>
      </c>
      <c r="AK2" s="27">
        <v>-1.65</v>
      </c>
      <c r="AL2" s="27">
        <v>-0.53</v>
      </c>
      <c r="AM2" s="27">
        <v>-1.92</v>
      </c>
      <c r="AN2" s="27">
        <v>-2</v>
      </c>
      <c r="AO2" s="27">
        <v>-0.42</v>
      </c>
      <c r="AP2" s="27">
        <v>-1.97</v>
      </c>
      <c r="AQ2" s="27">
        <v>-2.84</v>
      </c>
    </row>
    <row r="3" spans="1:43" x14ac:dyDescent="0.2">
      <c r="A3" t="s">
        <v>26</v>
      </c>
      <c r="B3" s="9" t="s">
        <v>27</v>
      </c>
      <c r="C3" s="10">
        <v>0.36799999999999999</v>
      </c>
      <c r="D3">
        <v>0</v>
      </c>
      <c r="E3" s="11">
        <v>1.1000000000000001</v>
      </c>
      <c r="F3" s="10"/>
      <c r="G3" s="10"/>
      <c r="H3">
        <f>27.2114*-0.26002</f>
        <v>-7.0755082279999995</v>
      </c>
      <c r="I3">
        <f>27.2114*-0.25168</f>
        <v>-6.8485651520000008</v>
      </c>
      <c r="J3">
        <f>ABS(H3-I3)</f>
        <v>0.22694307599999863</v>
      </c>
      <c r="K3" s="10">
        <v>0.36799999999999999</v>
      </c>
      <c r="L3">
        <v>0.245</v>
      </c>
      <c r="M3">
        <v>0</v>
      </c>
      <c r="N3" s="14">
        <v>-5.3364998332879999E-8</v>
      </c>
      <c r="O3" s="14">
        <v>2.6682499161700202E-8</v>
      </c>
      <c r="P3" s="14">
        <v>-5.3364998261783501E-9</v>
      </c>
      <c r="Q3">
        <v>68.639799999999994</v>
      </c>
      <c r="R3" s="14">
        <v>-628.88660000000004</v>
      </c>
      <c r="S3">
        <v>1</v>
      </c>
      <c r="T3">
        <v>0</v>
      </c>
      <c r="U3" s="15">
        <v>113.56</v>
      </c>
      <c r="V3" s="15">
        <v>108.93</v>
      </c>
      <c r="W3" s="15">
        <v>110.64</v>
      </c>
      <c r="X3" s="15">
        <v>112.21</v>
      </c>
      <c r="Y3" t="s">
        <v>26</v>
      </c>
      <c r="Z3" s="29" t="s">
        <v>27</v>
      </c>
      <c r="AA3" s="29" t="s">
        <v>27</v>
      </c>
      <c r="AB3" s="27">
        <v>-0.22</v>
      </c>
      <c r="AC3" s="27">
        <v>-1.02</v>
      </c>
      <c r="AD3" s="27">
        <v>-0.62</v>
      </c>
      <c r="AE3" s="27">
        <v>0</v>
      </c>
      <c r="AF3" s="27">
        <v>-0.52</v>
      </c>
      <c r="AG3" s="27">
        <v>-0.83</v>
      </c>
      <c r="AH3" s="27">
        <v>-0.26</v>
      </c>
      <c r="AI3" s="27">
        <v>-1.17</v>
      </c>
      <c r="AJ3" s="27">
        <v>-0.96</v>
      </c>
      <c r="AK3" s="27">
        <v>-1</v>
      </c>
      <c r="AL3" s="27">
        <v>-0.41</v>
      </c>
      <c r="AM3" s="27">
        <v>-0.97</v>
      </c>
      <c r="AN3" s="27">
        <v>-1.57</v>
      </c>
      <c r="AO3" s="27">
        <v>-0.23</v>
      </c>
      <c r="AP3" s="27">
        <v>-1.83</v>
      </c>
      <c r="AQ3" s="27">
        <v>-1.47</v>
      </c>
    </row>
    <row r="4" spans="1:43" x14ac:dyDescent="0.2">
      <c r="A4" t="s">
        <v>28</v>
      </c>
      <c r="B4" s="9" t="s">
        <v>29</v>
      </c>
      <c r="C4" s="10">
        <v>5.0999999999999997E-2</v>
      </c>
      <c r="D4">
        <v>1.29E-2</v>
      </c>
      <c r="E4" s="11">
        <v>0.97299999999999998</v>
      </c>
      <c r="F4" s="10"/>
      <c r="G4" s="10"/>
      <c r="H4">
        <f>27.2114*-0.15449</f>
        <v>-4.2038891859999996</v>
      </c>
      <c r="I4">
        <f>27.2114*-0.14283</f>
        <v>-3.8866042620000005</v>
      </c>
      <c r="J4">
        <f t="shared" ref="J4:J7" si="0">ABS(H4-I4)</f>
        <v>0.31728492399999908</v>
      </c>
      <c r="K4" s="10">
        <v>0.36030000000000001</v>
      </c>
      <c r="L4">
        <v>0.21199999999999999</v>
      </c>
      <c r="M4">
        <v>0</v>
      </c>
      <c r="N4">
        <v>5.8694289625911299E-2</v>
      </c>
      <c r="O4">
        <v>3.99929327398586E-2</v>
      </c>
      <c r="P4">
        <v>6.9406734595922004E-2</v>
      </c>
      <c r="Q4">
        <v>116.1495</v>
      </c>
      <c r="R4">
        <v>-169.65799999999999</v>
      </c>
      <c r="S4">
        <v>0.625</v>
      </c>
      <c r="T4">
        <v>0.375</v>
      </c>
      <c r="U4" s="13">
        <v>99.85</v>
      </c>
      <c r="V4" s="13">
        <v>117.25</v>
      </c>
      <c r="W4" s="13">
        <v>91.7</v>
      </c>
      <c r="X4" s="13">
        <v>9.43</v>
      </c>
      <c r="Y4" t="s">
        <v>28</v>
      </c>
      <c r="Z4" s="29" t="s">
        <v>29</v>
      </c>
      <c r="AA4" s="29" t="s">
        <v>29</v>
      </c>
      <c r="AB4" s="27">
        <v>0.59</v>
      </c>
      <c r="AC4" s="27">
        <v>-0.12</v>
      </c>
      <c r="AD4" s="27">
        <v>0.15</v>
      </c>
      <c r="AE4" s="27">
        <v>-1.73</v>
      </c>
      <c r="AF4" s="27">
        <v>0.51</v>
      </c>
      <c r="AG4" s="27">
        <v>0.26</v>
      </c>
      <c r="AH4" s="27">
        <v>-3.17</v>
      </c>
      <c r="AI4" s="27">
        <v>0.43</v>
      </c>
      <c r="AJ4" s="27">
        <v>0.68</v>
      </c>
      <c r="AK4" s="27">
        <v>0.7</v>
      </c>
      <c r="AL4" s="27">
        <v>-0.33</v>
      </c>
      <c r="AM4" s="27">
        <v>0.62</v>
      </c>
      <c r="AN4" s="27">
        <v>0.28999999999999998</v>
      </c>
      <c r="AO4" s="27">
        <v>0.44</v>
      </c>
      <c r="AP4" s="27">
        <v>0.5</v>
      </c>
      <c r="AQ4" s="27">
        <v>0.46</v>
      </c>
    </row>
    <row r="5" spans="1:43" x14ac:dyDescent="0.2">
      <c r="A5" t="s">
        <v>30</v>
      </c>
      <c r="B5" s="9" t="s">
        <v>31</v>
      </c>
      <c r="C5" s="10">
        <v>0.11600000000000001</v>
      </c>
      <c r="D5">
        <v>4.9799999999999997E-2</v>
      </c>
      <c r="E5" s="11">
        <v>1.1327</v>
      </c>
      <c r="F5" s="10"/>
      <c r="G5" s="10"/>
      <c r="H5">
        <f>27.2114*-0.1969</f>
        <v>-5.3579246600000001</v>
      </c>
      <c r="I5">
        <f>27.2114*-0.18917</f>
        <v>-5.1475805380000006</v>
      </c>
      <c r="J5">
        <f t="shared" si="0"/>
        <v>0.21034412199999952</v>
      </c>
      <c r="K5" s="10">
        <v>0.41460000000000002</v>
      </c>
      <c r="L5">
        <v>0.24</v>
      </c>
      <c r="M5">
        <v>0</v>
      </c>
      <c r="N5">
        <v>3.2646504507649297E-2</v>
      </c>
      <c r="O5">
        <v>-3.2980604343463798E-3</v>
      </c>
      <c r="P5">
        <v>3.8331724439023898E-2</v>
      </c>
      <c r="Q5">
        <v>33.585500000000003</v>
      </c>
      <c r="R5">
        <v>-763.76030000000003</v>
      </c>
      <c r="S5">
        <v>0.7</v>
      </c>
      <c r="T5">
        <v>0.3</v>
      </c>
      <c r="U5" s="13">
        <v>106.16</v>
      </c>
      <c r="V5" s="13">
        <v>116.52</v>
      </c>
      <c r="W5" s="13">
        <v>112.95</v>
      </c>
      <c r="X5" s="13">
        <v>108.61</v>
      </c>
      <c r="Y5" t="s">
        <v>30</v>
      </c>
      <c r="Z5" s="29" t="s">
        <v>31</v>
      </c>
      <c r="AA5" s="29" t="s">
        <v>31</v>
      </c>
      <c r="AB5" s="27">
        <v>0.45</v>
      </c>
      <c r="AC5" s="27">
        <v>-0.66</v>
      </c>
      <c r="AD5" s="27">
        <v>0.31</v>
      </c>
      <c r="AE5" s="27">
        <v>0.49</v>
      </c>
      <c r="AF5" s="27">
        <v>0.4</v>
      </c>
      <c r="AG5" s="27">
        <v>0.37</v>
      </c>
      <c r="AH5" s="27">
        <v>0.56999999999999995</v>
      </c>
      <c r="AI5" s="27">
        <v>0.36</v>
      </c>
      <c r="AJ5" s="27">
        <v>0.47</v>
      </c>
      <c r="AK5" s="27">
        <v>0.55000000000000004</v>
      </c>
      <c r="AL5" s="27">
        <v>-0.94</v>
      </c>
      <c r="AM5" s="27">
        <v>0.46</v>
      </c>
      <c r="AN5" s="27">
        <v>0.18</v>
      </c>
      <c r="AO5" s="27">
        <v>0.37</v>
      </c>
      <c r="AP5" s="27">
        <v>0.49</v>
      </c>
      <c r="AQ5" s="27">
        <v>0.36</v>
      </c>
    </row>
    <row r="6" spans="1:43" x14ac:dyDescent="0.2">
      <c r="A6" t="s">
        <v>32</v>
      </c>
      <c r="B6" s="9" t="s">
        <v>33</v>
      </c>
      <c r="C6" s="10">
        <v>0.12559999999999999</v>
      </c>
      <c r="D6">
        <v>2.64E-2</v>
      </c>
      <c r="E6" s="11">
        <v>1.665</v>
      </c>
      <c r="F6" s="10"/>
      <c r="G6" s="10"/>
      <c r="H6">
        <v>-0.18690000000000001</v>
      </c>
      <c r="I6">
        <v>-0.17274</v>
      </c>
      <c r="J6">
        <f t="shared" si="0"/>
        <v>1.4160000000000006E-2</v>
      </c>
      <c r="K6" s="10">
        <v>0.58799999999999997</v>
      </c>
      <c r="L6">
        <v>0.38350000000000001</v>
      </c>
      <c r="M6">
        <v>0</v>
      </c>
      <c r="N6" s="14">
        <v>-2.9360019874653502E-18</v>
      </c>
      <c r="O6" s="14">
        <v>1.9833866175723299E-8</v>
      </c>
      <c r="P6" s="14">
        <v>6.6112887358841296E-9</v>
      </c>
      <c r="Q6">
        <v>244.01840000000001</v>
      </c>
      <c r="R6">
        <v>-629.41240000000005</v>
      </c>
      <c r="S6">
        <v>0.7</v>
      </c>
      <c r="T6">
        <v>0.3</v>
      </c>
      <c r="U6" s="13">
        <v>100.92</v>
      </c>
      <c r="V6" s="13">
        <v>114.46</v>
      </c>
      <c r="W6" s="13">
        <v>112.79</v>
      </c>
      <c r="X6" s="13">
        <v>112.55</v>
      </c>
      <c r="Y6" t="s">
        <v>32</v>
      </c>
      <c r="Z6" s="29" t="s">
        <v>33</v>
      </c>
      <c r="AA6" s="29" t="s">
        <v>33</v>
      </c>
      <c r="AB6" s="27">
        <v>0.53</v>
      </c>
      <c r="AC6" s="27">
        <v>-0.62</v>
      </c>
      <c r="AD6" s="27">
        <v>0.22</v>
      </c>
      <c r="AE6" s="27">
        <v>-0.34</v>
      </c>
      <c r="AF6" s="27">
        <v>0.46</v>
      </c>
      <c r="AG6" s="27">
        <v>0.34</v>
      </c>
      <c r="AH6" s="27">
        <v>-0.49</v>
      </c>
      <c r="AI6" s="27">
        <v>0.31</v>
      </c>
      <c r="AJ6" s="27">
        <v>0.55000000000000004</v>
      </c>
      <c r="AK6" s="27">
        <v>0.59</v>
      </c>
      <c r="AL6" s="27">
        <v>-0.65</v>
      </c>
      <c r="AM6" s="27">
        <v>0.52</v>
      </c>
      <c r="AN6" s="27">
        <v>0.14000000000000001</v>
      </c>
      <c r="AO6" s="27">
        <v>0.41</v>
      </c>
      <c r="AP6" s="27">
        <v>0.42</v>
      </c>
      <c r="AQ6" s="27">
        <v>0.41</v>
      </c>
    </row>
    <row r="7" spans="1:43" x14ac:dyDescent="0.2">
      <c r="A7" t="s">
        <v>34</v>
      </c>
      <c r="B7" s="9" t="s">
        <v>35</v>
      </c>
      <c r="C7" s="10">
        <v>0.42599999999999999</v>
      </c>
      <c r="D7">
        <v>0</v>
      </c>
      <c r="E7" s="11">
        <v>0.92</v>
      </c>
      <c r="F7" s="10"/>
      <c r="G7" s="10"/>
      <c r="H7">
        <v>-0.14910000000000001</v>
      </c>
      <c r="I7">
        <v>-8.7900000000000006E-2</v>
      </c>
      <c r="J7">
        <f t="shared" si="0"/>
        <v>6.1200000000000004E-2</v>
      </c>
      <c r="K7" s="10">
        <v>0.31900000000000001</v>
      </c>
      <c r="L7">
        <v>0.20300000000000001</v>
      </c>
      <c r="M7">
        <v>0</v>
      </c>
      <c r="N7" s="16">
        <v>-2.9455769999999999E-2</v>
      </c>
      <c r="O7" s="16">
        <v>-3.2641099E-2</v>
      </c>
      <c r="P7" s="16">
        <v>-7.423687E-3</v>
      </c>
      <c r="Q7">
        <v>355.10629999999998</v>
      </c>
      <c r="R7">
        <v>-1124.4580000000001</v>
      </c>
      <c r="S7">
        <v>0.6</v>
      </c>
      <c r="T7">
        <v>0.4</v>
      </c>
      <c r="U7" s="15">
        <v>114.37</v>
      </c>
      <c r="V7" s="15">
        <v>109.94</v>
      </c>
      <c r="W7" s="15">
        <v>107.03</v>
      </c>
      <c r="X7" s="15">
        <v>118.54</v>
      </c>
      <c r="Y7" t="s">
        <v>34</v>
      </c>
      <c r="Z7" s="29" t="s">
        <v>35</v>
      </c>
      <c r="AA7" s="29" t="s">
        <v>35</v>
      </c>
      <c r="AB7" s="27">
        <v>0.36</v>
      </c>
      <c r="AC7" s="27">
        <v>0.35</v>
      </c>
      <c r="AD7" s="27">
        <v>0.2</v>
      </c>
      <c r="AE7" s="27">
        <v>0.26</v>
      </c>
      <c r="AF7" s="27">
        <v>0.3</v>
      </c>
      <c r="AG7" s="27">
        <v>0.2</v>
      </c>
      <c r="AH7" s="27">
        <v>0.16</v>
      </c>
      <c r="AI7" s="27">
        <v>0.14000000000000001</v>
      </c>
      <c r="AJ7" s="27">
        <v>0.33</v>
      </c>
      <c r="AK7" s="27">
        <v>0.28000000000000003</v>
      </c>
      <c r="AL7" s="27">
        <v>0.25</v>
      </c>
      <c r="AM7" s="27">
        <v>0.23</v>
      </c>
      <c r="AN7" s="27">
        <v>-0.1</v>
      </c>
      <c r="AO7" s="27">
        <v>0.25</v>
      </c>
      <c r="AP7" s="27">
        <v>0.16</v>
      </c>
      <c r="AQ7" s="27">
        <v>0.17</v>
      </c>
    </row>
    <row r="8" spans="1:43" x14ac:dyDescent="0.2">
      <c r="A8" t="s">
        <v>36</v>
      </c>
      <c r="B8" s="9" t="s">
        <v>37</v>
      </c>
      <c r="C8" s="17">
        <v>0.20240654399999999</v>
      </c>
      <c r="D8">
        <v>0</v>
      </c>
      <c r="E8" s="18">
        <v>0.37200926899999998</v>
      </c>
      <c r="F8" s="17">
        <v>3.130817</v>
      </c>
      <c r="G8" s="17">
        <v>3.4402919999999999</v>
      </c>
      <c r="H8">
        <v>-3.5270000000000001</v>
      </c>
      <c r="I8">
        <v>-3.097</v>
      </c>
      <c r="J8">
        <f>ABS(H8-I8)</f>
        <v>0.43000000000000016</v>
      </c>
      <c r="K8" s="17">
        <v>0.18099999999999999</v>
      </c>
      <c r="L8">
        <v>0.09</v>
      </c>
      <c r="M8">
        <v>0</v>
      </c>
      <c r="N8" s="19">
        <v>9.9388600000000006E-5</v>
      </c>
      <c r="O8" s="12">
        <v>-4.8000000000000001E-4</v>
      </c>
      <c r="P8" s="19">
        <v>-7.4848499999999993E-5</v>
      </c>
      <c r="Q8">
        <v>409.52</v>
      </c>
      <c r="R8">
        <v>-820.005</v>
      </c>
      <c r="S8">
        <v>0.5</v>
      </c>
      <c r="T8">
        <v>0.5</v>
      </c>
      <c r="U8" s="13">
        <v>112.72</v>
      </c>
      <c r="V8" s="13">
        <v>111.21</v>
      </c>
      <c r="W8" s="13">
        <v>112.22</v>
      </c>
      <c r="X8" s="13">
        <v>112.24</v>
      </c>
      <c r="Y8" t="s">
        <v>36</v>
      </c>
      <c r="Z8" s="29" t="s">
        <v>37</v>
      </c>
      <c r="AA8" s="29" t="s">
        <v>37</v>
      </c>
      <c r="AB8" s="27">
        <v>0.32</v>
      </c>
      <c r="AC8" s="27">
        <v>0.55000000000000004</v>
      </c>
      <c r="AD8" s="27">
        <v>0.27</v>
      </c>
      <c r="AE8" s="27">
        <v>0.46</v>
      </c>
      <c r="AF8" s="27">
        <v>0.33</v>
      </c>
      <c r="AG8" s="27">
        <v>0.28999999999999998</v>
      </c>
      <c r="AH8" s="27">
        <v>0.45</v>
      </c>
      <c r="AI8" s="27">
        <v>0.44</v>
      </c>
      <c r="AJ8" s="27">
        <v>0.27</v>
      </c>
      <c r="AK8" s="27">
        <v>0.33</v>
      </c>
      <c r="AL8" s="27">
        <v>0.55000000000000004</v>
      </c>
      <c r="AM8" s="27">
        <v>0.51</v>
      </c>
      <c r="AN8" s="27">
        <v>0</v>
      </c>
      <c r="AO8" s="27">
        <v>0.08</v>
      </c>
      <c r="AP8" s="27">
        <v>0.36</v>
      </c>
      <c r="AQ8" s="27">
        <v>0.51</v>
      </c>
    </row>
    <row r="9" spans="1:43" x14ac:dyDescent="0.2">
      <c r="A9" s="9" t="s">
        <v>38</v>
      </c>
      <c r="B9" s="9" t="s">
        <v>38</v>
      </c>
      <c r="C9" s="17">
        <v>0.24048371900000001</v>
      </c>
      <c r="D9">
        <v>0</v>
      </c>
      <c r="E9" s="18">
        <v>0.396798137</v>
      </c>
      <c r="F9" s="10">
        <v>4.165</v>
      </c>
      <c r="G9" s="10">
        <v>3.9980000000000002</v>
      </c>
      <c r="H9">
        <v>-4.4000000000000004</v>
      </c>
      <c r="I9">
        <v>-3.7709999999999999</v>
      </c>
      <c r="J9">
        <f t="shared" ref="J9:J28" si="1">ABS(H9-I9)</f>
        <v>0.62900000000000045</v>
      </c>
      <c r="K9" s="17">
        <v>0.16533255699999999</v>
      </c>
      <c r="L9">
        <v>0</v>
      </c>
      <c r="M9">
        <v>0</v>
      </c>
      <c r="N9" s="12">
        <v>-2.9707300000000002E-4</v>
      </c>
      <c r="O9" s="12">
        <v>1.273592E-2</v>
      </c>
      <c r="P9" s="12">
        <v>-9.4948199999999997E-4</v>
      </c>
      <c r="Q9">
        <v>5.1390000000000002</v>
      </c>
      <c r="R9">
        <v>-908.88099999999997</v>
      </c>
      <c r="S9">
        <v>0</v>
      </c>
      <c r="T9">
        <v>1</v>
      </c>
      <c r="U9" s="13">
        <v>111.37</v>
      </c>
      <c r="V9" s="13">
        <v>114.04</v>
      </c>
      <c r="W9" s="13">
        <v>113.68</v>
      </c>
      <c r="X9" s="13">
        <v>113.72</v>
      </c>
      <c r="Y9" s="9" t="s">
        <v>38</v>
      </c>
      <c r="Z9" s="29" t="s">
        <v>38</v>
      </c>
      <c r="AA9" s="29" t="s">
        <v>38</v>
      </c>
      <c r="AB9" s="27">
        <v>-4.5599999999999996</v>
      </c>
      <c r="AC9" s="27">
        <v>-17.760000000000002</v>
      </c>
      <c r="AD9" s="27">
        <v>-14.06</v>
      </c>
      <c r="AE9" s="27">
        <v>-2.58</v>
      </c>
      <c r="AF9" s="27">
        <v>-7.93</v>
      </c>
      <c r="AG9" s="27">
        <v>-10.75</v>
      </c>
      <c r="AH9" s="27">
        <v>-13.98</v>
      </c>
      <c r="AI9" s="27">
        <v>-11.52</v>
      </c>
      <c r="AJ9" s="27">
        <v>-6.85</v>
      </c>
      <c r="AK9" s="27">
        <v>-5.99</v>
      </c>
      <c r="AL9" s="27">
        <v>-12.03</v>
      </c>
      <c r="AM9" s="27">
        <v>-18.05</v>
      </c>
      <c r="AN9" s="27">
        <v>-5.34</v>
      </c>
      <c r="AO9" s="27">
        <v>-4.6500000000000004</v>
      </c>
      <c r="AP9" s="27">
        <v>-11.45</v>
      </c>
      <c r="AQ9" s="27">
        <v>-14.65</v>
      </c>
    </row>
    <row r="10" spans="1:43" x14ac:dyDescent="0.2">
      <c r="A10" s="9" t="s">
        <v>39</v>
      </c>
      <c r="B10" s="9" t="s">
        <v>39</v>
      </c>
      <c r="C10" s="10">
        <v>0.23931364799999999</v>
      </c>
      <c r="D10">
        <v>0</v>
      </c>
      <c r="E10" s="18">
        <v>0.32207628500000002</v>
      </c>
      <c r="F10" s="10">
        <v>2.9670000000000001</v>
      </c>
      <c r="G10" s="10">
        <v>2.9060000000000001</v>
      </c>
      <c r="H10">
        <v>-3.2490000000000001</v>
      </c>
      <c r="I10">
        <v>-2.62</v>
      </c>
      <c r="J10">
        <f t="shared" si="1"/>
        <v>0.629</v>
      </c>
      <c r="K10" s="17">
        <v>0.169513834</v>
      </c>
      <c r="L10">
        <v>0</v>
      </c>
      <c r="M10">
        <v>0</v>
      </c>
      <c r="N10" s="12">
        <v>2.165489E-3</v>
      </c>
      <c r="O10" s="12">
        <v>1.79216E-4</v>
      </c>
      <c r="P10" s="12">
        <v>2.2676E-4</v>
      </c>
      <c r="Q10">
        <v>3.7170000000000001</v>
      </c>
      <c r="R10">
        <v>-631.08799999999997</v>
      </c>
      <c r="S10">
        <v>0</v>
      </c>
      <c r="T10">
        <v>1</v>
      </c>
      <c r="U10" s="13">
        <v>110.36</v>
      </c>
      <c r="V10" s="13">
        <v>116.43</v>
      </c>
      <c r="W10" s="13">
        <v>114.83</v>
      </c>
      <c r="X10" s="13">
        <v>114.58</v>
      </c>
      <c r="Y10" s="9" t="s">
        <v>39</v>
      </c>
      <c r="Z10" s="29" t="s">
        <v>39</v>
      </c>
      <c r="AA10" s="29" t="s">
        <v>39</v>
      </c>
      <c r="AB10" s="27">
        <v>0.4</v>
      </c>
      <c r="AC10" s="27">
        <v>-8.1</v>
      </c>
      <c r="AD10" s="27">
        <v>-1.41</v>
      </c>
      <c r="AE10" s="27">
        <v>-0.11</v>
      </c>
      <c r="AF10" s="27">
        <v>-0.77</v>
      </c>
      <c r="AG10" s="27">
        <v>-1.8</v>
      </c>
      <c r="AH10" s="27">
        <v>-0.11</v>
      </c>
      <c r="AI10" s="27">
        <v>-2.34</v>
      </c>
      <c r="AJ10" s="27">
        <v>0.13</v>
      </c>
      <c r="AK10" s="27">
        <v>-0.05</v>
      </c>
      <c r="AL10" s="27">
        <v>-0.25</v>
      </c>
      <c r="AM10" s="27">
        <v>-3.26</v>
      </c>
      <c r="AN10" s="27">
        <v>0.21</v>
      </c>
      <c r="AO10" s="27">
        <v>0.22</v>
      </c>
      <c r="AP10" s="27">
        <v>-9.35</v>
      </c>
      <c r="AQ10" s="27">
        <v>-10.210000000000001</v>
      </c>
    </row>
    <row r="11" spans="1:43" x14ac:dyDescent="0.2">
      <c r="A11" s="9" t="s">
        <v>40</v>
      </c>
      <c r="B11" s="9" t="s">
        <v>40</v>
      </c>
      <c r="C11" s="10">
        <v>0.489205997</v>
      </c>
      <c r="D11">
        <v>0</v>
      </c>
      <c r="E11" s="11">
        <v>0.42899602799999997</v>
      </c>
      <c r="F11" s="10">
        <v>3.0259999999999998</v>
      </c>
      <c r="G11" s="10">
        <v>2.7549999999999999</v>
      </c>
      <c r="H11">
        <v>-3.1779999999999999</v>
      </c>
      <c r="I11">
        <v>-2.5550000000000002</v>
      </c>
      <c r="J11">
        <f t="shared" si="1"/>
        <v>0.62299999999999978</v>
      </c>
      <c r="K11" s="10">
        <v>0.22578738300000001</v>
      </c>
      <c r="L11">
        <v>0</v>
      </c>
      <c r="M11">
        <v>0</v>
      </c>
      <c r="N11">
        <v>2.209593E-2</v>
      </c>
      <c r="O11" s="12">
        <v>-2.4939882E-2</v>
      </c>
      <c r="P11" s="12">
        <v>6.5835799999999995E-4</v>
      </c>
      <c r="Q11">
        <v>11.161</v>
      </c>
      <c r="R11">
        <v>-983.40099999999995</v>
      </c>
      <c r="S11">
        <v>0</v>
      </c>
      <c r="T11">
        <v>1</v>
      </c>
      <c r="U11" s="13">
        <v>114.55</v>
      </c>
      <c r="V11" s="13">
        <v>114.47</v>
      </c>
      <c r="W11" s="13">
        <v>116.01</v>
      </c>
      <c r="X11" s="13">
        <v>115.46</v>
      </c>
      <c r="Y11" s="9" t="s">
        <v>40</v>
      </c>
      <c r="Z11" s="29" t="s">
        <v>40</v>
      </c>
      <c r="AA11" s="29" t="s">
        <v>40</v>
      </c>
      <c r="AB11" s="27">
        <v>-0.02</v>
      </c>
      <c r="AC11" s="27">
        <v>-16.059999999999999</v>
      </c>
      <c r="AD11" s="27">
        <v>-5.26</v>
      </c>
      <c r="AE11" s="27">
        <v>-3.31</v>
      </c>
      <c r="AF11" s="27">
        <v>-4.82</v>
      </c>
      <c r="AG11" s="27">
        <v>-6.86</v>
      </c>
      <c r="AH11" s="27">
        <v>-5.88</v>
      </c>
      <c r="AI11" s="27">
        <v>-7.63</v>
      </c>
      <c r="AJ11" s="27">
        <v>-6.15</v>
      </c>
      <c r="AK11" s="27">
        <v>-4.67</v>
      </c>
      <c r="AL11" s="27">
        <v>-8.3800000000000008</v>
      </c>
      <c r="AM11" s="27">
        <v>-6.54</v>
      </c>
      <c r="AN11" s="27">
        <v>-2.5299999999999998</v>
      </c>
      <c r="AO11" s="27">
        <v>-1.21</v>
      </c>
      <c r="AP11" s="27">
        <v>-16.739999999999998</v>
      </c>
      <c r="AQ11" s="27">
        <v>-8.6300000000000008</v>
      </c>
    </row>
    <row r="12" spans="1:43" x14ac:dyDescent="0.2">
      <c r="A12" s="9" t="s">
        <v>41</v>
      </c>
      <c r="B12" s="9" t="s">
        <v>41</v>
      </c>
      <c r="C12" s="12">
        <v>0.48399999999999999</v>
      </c>
      <c r="D12">
        <v>0</v>
      </c>
      <c r="E12" s="11">
        <v>0.4</v>
      </c>
      <c r="F12" s="10"/>
      <c r="G12" s="10"/>
      <c r="H12">
        <v>-3.2730000000000001</v>
      </c>
      <c r="I12">
        <v>-2.7130000000000001</v>
      </c>
      <c r="J12">
        <f t="shared" si="1"/>
        <v>0.56000000000000005</v>
      </c>
      <c r="K12" s="10">
        <v>0.216</v>
      </c>
      <c r="L12">
        <v>0</v>
      </c>
      <c r="M12">
        <v>0</v>
      </c>
      <c r="N12" s="19">
        <v>8.33962E-5</v>
      </c>
      <c r="O12" s="12">
        <v>-1.09685E-4</v>
      </c>
      <c r="P12" s="19">
        <v>-2.4370699999999999E-6</v>
      </c>
      <c r="Q12">
        <v>8.5900000000000004E-2</v>
      </c>
      <c r="R12">
        <v>-979.05899999999997</v>
      </c>
      <c r="S12">
        <v>0</v>
      </c>
      <c r="T12">
        <v>1</v>
      </c>
      <c r="U12" s="13">
        <v>110.41</v>
      </c>
      <c r="V12" s="13">
        <v>116.73</v>
      </c>
      <c r="W12" s="13">
        <v>114.09</v>
      </c>
      <c r="X12" s="13">
        <v>114.87</v>
      </c>
      <c r="Y12" s="9" t="s">
        <v>41</v>
      </c>
      <c r="Z12" s="29" t="s">
        <v>41</v>
      </c>
      <c r="AA12" s="29" t="s">
        <v>41</v>
      </c>
      <c r="AB12" s="27">
        <v>0.28999999999999998</v>
      </c>
      <c r="AC12" s="27">
        <v>-20.71</v>
      </c>
      <c r="AD12" s="27">
        <v>-5.52</v>
      </c>
      <c r="AE12" s="27">
        <v>-2.02</v>
      </c>
      <c r="AF12" s="27">
        <v>-3.8</v>
      </c>
      <c r="AG12" s="27">
        <v>-6.22</v>
      </c>
      <c r="AH12" s="27">
        <v>-3.07</v>
      </c>
      <c r="AI12" s="27">
        <v>-9.93</v>
      </c>
      <c r="AJ12" s="27">
        <v>-3.31</v>
      </c>
      <c r="AK12" s="27">
        <v>-1.91</v>
      </c>
      <c r="AL12" s="27">
        <v>-3.25</v>
      </c>
      <c r="AM12" s="27">
        <v>-10.15</v>
      </c>
      <c r="AN12" s="27">
        <v>-1.75</v>
      </c>
      <c r="AO12" s="27">
        <v>-0.53</v>
      </c>
      <c r="AP12" s="27">
        <v>-21.05</v>
      </c>
      <c r="AQ12" s="27">
        <v>-14.81</v>
      </c>
    </row>
    <row r="13" spans="1:43" x14ac:dyDescent="0.2">
      <c r="A13" s="9" t="s">
        <v>42</v>
      </c>
      <c r="B13" s="9" t="s">
        <v>43</v>
      </c>
      <c r="C13" s="20">
        <v>0.376</v>
      </c>
      <c r="D13">
        <v>0</v>
      </c>
      <c r="E13" s="11">
        <v>0.80600000000000005</v>
      </c>
      <c r="F13" s="10"/>
      <c r="G13" s="10"/>
      <c r="H13">
        <v>-5.8760000000000003</v>
      </c>
      <c r="I13">
        <v>-5.3490000000000002</v>
      </c>
      <c r="J13">
        <f t="shared" si="1"/>
        <v>0.52700000000000014</v>
      </c>
      <c r="K13" s="10">
        <v>0.40169297399999998</v>
      </c>
      <c r="L13">
        <v>0</v>
      </c>
      <c r="M13" s="21">
        <v>3.04E-2</v>
      </c>
      <c r="N13" s="16">
        <v>-6.8141479999999999E-3</v>
      </c>
      <c r="O13" s="16">
        <v>-1.3044635000000001E-2</v>
      </c>
      <c r="P13" s="16">
        <v>8.1898502999999997E-2</v>
      </c>
      <c r="Q13">
        <v>16.713999999999999</v>
      </c>
      <c r="R13">
        <v>-1233.097</v>
      </c>
      <c r="S13">
        <v>1</v>
      </c>
      <c r="T13">
        <v>0</v>
      </c>
      <c r="U13" s="13">
        <v>116.06</v>
      </c>
      <c r="V13" s="13">
        <v>106.66</v>
      </c>
      <c r="W13" s="13">
        <v>112.1</v>
      </c>
      <c r="X13" s="13">
        <v>111.58</v>
      </c>
      <c r="Y13" s="9" t="s">
        <v>42</v>
      </c>
      <c r="Z13" s="29" t="s">
        <v>43</v>
      </c>
      <c r="AA13" s="29" t="s">
        <v>43</v>
      </c>
      <c r="AB13" s="27">
        <v>-0.28000000000000003</v>
      </c>
      <c r="AC13" s="27">
        <v>-4.76</v>
      </c>
      <c r="AD13" s="27">
        <v>-2.2200000000000002</v>
      </c>
      <c r="AE13" s="27">
        <v>-0.77</v>
      </c>
      <c r="AF13" s="27">
        <v>-0.89</v>
      </c>
      <c r="AG13" s="27">
        <v>-1.71</v>
      </c>
      <c r="AH13" s="27">
        <v>-1.1100000000000001</v>
      </c>
      <c r="AI13" s="27">
        <v>-2.98</v>
      </c>
      <c r="AJ13" s="27">
        <v>-2.27</v>
      </c>
      <c r="AK13" s="27">
        <v>-1.84</v>
      </c>
      <c r="AL13" s="27">
        <v>-1.41</v>
      </c>
      <c r="AM13" s="27">
        <v>-2.6</v>
      </c>
      <c r="AN13" s="27">
        <v>-3.11</v>
      </c>
      <c r="AO13" s="27">
        <v>-0.57999999999999996</v>
      </c>
      <c r="AP13" s="27">
        <v>-4.09</v>
      </c>
      <c r="AQ13" s="27">
        <v>-4.07</v>
      </c>
    </row>
    <row r="14" spans="1:43" x14ac:dyDescent="0.2">
      <c r="A14" s="9" t="s">
        <v>44</v>
      </c>
      <c r="B14" s="9" t="s">
        <v>45</v>
      </c>
      <c r="C14" s="10">
        <v>7.9000000000000001E-2</v>
      </c>
      <c r="D14" s="10">
        <v>3.9602999999999999E-2</v>
      </c>
      <c r="E14" s="11">
        <v>1.6</v>
      </c>
      <c r="F14" s="10"/>
      <c r="G14" s="10"/>
      <c r="H14">
        <f>27.2114*-0.19871</f>
        <v>-5.4071772940000002</v>
      </c>
      <c r="I14">
        <f>27.2114*-0.17961</f>
        <v>-4.8874395540000002</v>
      </c>
      <c r="J14">
        <f t="shared" si="1"/>
        <v>0.51973774000000006</v>
      </c>
      <c r="K14" s="10">
        <v>0.63400000000000001</v>
      </c>
      <c r="L14" s="10">
        <v>3.9602999999999999E-2</v>
      </c>
      <c r="M14">
        <v>0.59399999999999997</v>
      </c>
      <c r="N14">
        <v>3.8962159084305198E-3</v>
      </c>
      <c r="O14">
        <v>3.0379830679787699E-3</v>
      </c>
      <c r="P14">
        <v>4.6109247963293997E-3</v>
      </c>
      <c r="Q14">
        <v>9.2777999999999992</v>
      </c>
      <c r="R14">
        <v>-400.57</v>
      </c>
      <c r="S14">
        <v>1</v>
      </c>
      <c r="T14">
        <v>0</v>
      </c>
      <c r="U14" s="13">
        <v>113.96</v>
      </c>
      <c r="V14" s="13">
        <v>108.36</v>
      </c>
      <c r="W14" s="13">
        <v>111.61</v>
      </c>
      <c r="X14" s="13">
        <v>110.67</v>
      </c>
      <c r="Y14" s="9" t="s">
        <v>44</v>
      </c>
      <c r="Z14" s="29" t="s">
        <v>45</v>
      </c>
      <c r="AA14" s="29" t="s">
        <v>45</v>
      </c>
      <c r="AB14" s="27">
        <v>0.06</v>
      </c>
      <c r="AC14" s="27">
        <v>-4.21</v>
      </c>
      <c r="AD14" s="27">
        <v>-1.32</v>
      </c>
      <c r="AE14" s="27">
        <v>-0.5</v>
      </c>
      <c r="AF14" s="27">
        <v>-0.38</v>
      </c>
      <c r="AG14" s="27">
        <v>-1.91</v>
      </c>
      <c r="AH14" s="27">
        <v>-4.8</v>
      </c>
      <c r="AI14" s="27">
        <v>-3.43</v>
      </c>
      <c r="AJ14" s="27">
        <v>-1.3</v>
      </c>
      <c r="AK14" s="27">
        <v>-1.43</v>
      </c>
      <c r="AL14" s="27">
        <v>-1.01</v>
      </c>
      <c r="AM14" s="27">
        <v>-2.8</v>
      </c>
      <c r="AN14" s="27">
        <v>-3.27</v>
      </c>
      <c r="AO14" s="27">
        <v>-0.2</v>
      </c>
      <c r="AP14" s="27">
        <v>-3.85</v>
      </c>
      <c r="AQ14" s="27">
        <v>-4.76</v>
      </c>
    </row>
    <row r="15" spans="1:43" x14ac:dyDescent="0.2">
      <c r="A15" s="9" t="s">
        <v>46</v>
      </c>
      <c r="B15" s="9" t="s">
        <v>47</v>
      </c>
      <c r="C15" s="10">
        <v>1.55E-2</v>
      </c>
      <c r="D15">
        <v>7.7999999999999996E-3</v>
      </c>
      <c r="E15" s="11">
        <v>1.28</v>
      </c>
      <c r="F15" s="10"/>
      <c r="G15" s="10"/>
      <c r="H15">
        <v>-4.8570000000000002</v>
      </c>
      <c r="I15">
        <v>-4.6189999999999998</v>
      </c>
      <c r="J15">
        <f t="shared" si="1"/>
        <v>0.23800000000000043</v>
      </c>
      <c r="K15" s="10">
        <v>0.505</v>
      </c>
      <c r="L15">
        <v>0.02</v>
      </c>
      <c r="M15">
        <v>0.48199999999999998</v>
      </c>
      <c r="N15" s="16">
        <v>-6.2210820000000002E-3</v>
      </c>
      <c r="O15" s="16">
        <v>-3.0945289999999999E-3</v>
      </c>
      <c r="P15" s="16">
        <v>2.7708749999999999E-3</v>
      </c>
      <c r="Q15">
        <v>44.816000000000003</v>
      </c>
      <c r="R15">
        <v>-923.49099999999999</v>
      </c>
      <c r="S15">
        <v>1</v>
      </c>
      <c r="T15">
        <v>0</v>
      </c>
      <c r="U15" s="13">
        <v>102.48</v>
      </c>
      <c r="V15" s="13">
        <v>120.57</v>
      </c>
      <c r="W15" s="13">
        <v>115.16</v>
      </c>
      <c r="X15" s="13">
        <v>107.92</v>
      </c>
      <c r="Y15" s="9" t="s">
        <v>46</v>
      </c>
      <c r="Z15" s="29" t="s">
        <v>47</v>
      </c>
      <c r="AA15" s="29" t="s">
        <v>47</v>
      </c>
      <c r="AB15" s="27">
        <v>-0.02</v>
      </c>
      <c r="AC15" s="27">
        <v>-4.08</v>
      </c>
      <c r="AD15" s="27">
        <v>-1.18</v>
      </c>
      <c r="AE15" s="27">
        <v>-0.42</v>
      </c>
      <c r="AF15" s="27">
        <v>-0.3</v>
      </c>
      <c r="AG15" s="27">
        <v>-1.7</v>
      </c>
      <c r="AH15" s="27">
        <v>-0.42</v>
      </c>
      <c r="AI15" s="27">
        <v>-3.13</v>
      </c>
      <c r="AJ15" s="27">
        <v>-1.51</v>
      </c>
      <c r="AK15" s="27">
        <v>-1.31</v>
      </c>
      <c r="AL15" s="27">
        <v>-0.71</v>
      </c>
      <c r="AM15" s="27">
        <v>-2.86</v>
      </c>
      <c r="AN15" s="27">
        <v>-2.83</v>
      </c>
      <c r="AO15" s="27">
        <v>-0.12</v>
      </c>
      <c r="AP15" s="27">
        <v>-5.26</v>
      </c>
      <c r="AQ15" s="27">
        <v>-5.39</v>
      </c>
    </row>
    <row r="16" spans="1:43" x14ac:dyDescent="0.2">
      <c r="A16" s="9" t="s">
        <v>48</v>
      </c>
      <c r="B16" s="9" t="s">
        <v>47</v>
      </c>
      <c r="C16" s="10">
        <v>0.11927</v>
      </c>
      <c r="D16">
        <v>5.9630000000000002E-2</v>
      </c>
      <c r="E16" s="11">
        <v>1.96</v>
      </c>
      <c r="F16" s="10"/>
      <c r="G16" s="10"/>
      <c r="H16">
        <f>-0.14204*27.2114</f>
        <v>-3.8651072559999999</v>
      </c>
      <c r="I16">
        <f>-0.12233*27.2114</f>
        <v>-3.3287705619999999</v>
      </c>
      <c r="J16">
        <f t="shared" si="1"/>
        <v>0.53633669400000006</v>
      </c>
      <c r="K16" s="10">
        <v>0.73599999999999999</v>
      </c>
      <c r="L16" s="10">
        <v>0.11927</v>
      </c>
      <c r="M16">
        <v>0.55700000000000005</v>
      </c>
      <c r="N16">
        <v>-5.8539699875497897E-2</v>
      </c>
      <c r="O16">
        <v>-5.8988226864682601E-2</v>
      </c>
      <c r="P16">
        <v>-6.33415408041203E-2</v>
      </c>
      <c r="Q16">
        <v>26.6843</v>
      </c>
      <c r="R16">
        <v>-1699.9</v>
      </c>
      <c r="S16">
        <v>1</v>
      </c>
      <c r="T16">
        <v>0</v>
      </c>
      <c r="U16" s="13">
        <v>47.707539204034198</v>
      </c>
      <c r="V16" s="13">
        <v>171.31794819456101</v>
      </c>
      <c r="W16" s="13">
        <v>112.38</v>
      </c>
      <c r="X16" s="13">
        <v>112.46</v>
      </c>
      <c r="Y16" s="9" t="s">
        <v>48</v>
      </c>
      <c r="Z16" s="29" t="s">
        <v>47</v>
      </c>
      <c r="AA16" s="29" t="s">
        <v>47</v>
      </c>
      <c r="AB16" s="27">
        <v>-0.02</v>
      </c>
      <c r="AC16" s="27">
        <v>-4.08</v>
      </c>
      <c r="AD16" s="27">
        <v>-1.18</v>
      </c>
      <c r="AE16" s="27">
        <v>-0.42</v>
      </c>
      <c r="AF16" s="27">
        <v>-0.3</v>
      </c>
      <c r="AG16" s="27">
        <v>-1.7</v>
      </c>
      <c r="AH16" s="27">
        <v>-0.42</v>
      </c>
      <c r="AI16" s="27">
        <v>-3.13</v>
      </c>
      <c r="AJ16" s="27">
        <v>-1.51</v>
      </c>
      <c r="AK16" s="27">
        <v>-1.31</v>
      </c>
      <c r="AL16" s="27">
        <v>-0.71</v>
      </c>
      <c r="AM16" s="27">
        <v>-2.86</v>
      </c>
      <c r="AN16" s="27">
        <v>-2.83</v>
      </c>
      <c r="AO16" s="27">
        <v>-0.12</v>
      </c>
      <c r="AP16" s="27">
        <v>-5.26</v>
      </c>
      <c r="AQ16" s="27">
        <v>-5.39</v>
      </c>
    </row>
    <row r="17" spans="1:43" x14ac:dyDescent="0.2">
      <c r="A17" s="9" t="s">
        <v>49</v>
      </c>
      <c r="B17" s="9" t="s">
        <v>50</v>
      </c>
      <c r="C17" s="10">
        <v>0</v>
      </c>
      <c r="D17">
        <v>0</v>
      </c>
      <c r="E17" s="11">
        <v>1.32</v>
      </c>
      <c r="F17" s="10"/>
      <c r="G17" s="10"/>
      <c r="H17">
        <f>27.2114*-0.17928</f>
        <v>-4.8784597920000001</v>
      </c>
      <c r="I17">
        <f>27.2114*-0.16359</f>
        <v>-4.4515129260000004</v>
      </c>
      <c r="J17">
        <f>ABS(H17-I17)</f>
        <v>0.42694686599999976</v>
      </c>
      <c r="K17" s="10">
        <v>0.53100000000000003</v>
      </c>
      <c r="L17">
        <v>0</v>
      </c>
      <c r="M17" s="10">
        <v>0.53100000000000003</v>
      </c>
      <c r="N17">
        <v>-3.9962781471538696E-3</v>
      </c>
      <c r="O17">
        <v>-3.9605567299795703E-3</v>
      </c>
      <c r="P17">
        <v>-3.9206397451967204E-3</v>
      </c>
      <c r="Q17">
        <v>13.656499999999999</v>
      </c>
      <c r="R17">
        <v>-463.45690000000002</v>
      </c>
      <c r="S17">
        <v>1</v>
      </c>
      <c r="T17">
        <v>0</v>
      </c>
      <c r="U17" s="13">
        <v>114.72</v>
      </c>
      <c r="V17" s="13">
        <v>109.15</v>
      </c>
      <c r="W17" s="13">
        <v>112.02</v>
      </c>
      <c r="X17" s="13">
        <v>111.8</v>
      </c>
      <c r="Y17" s="9" t="s">
        <v>49</v>
      </c>
      <c r="Z17" s="29" t="s">
        <v>50</v>
      </c>
      <c r="AA17" s="29" t="s">
        <v>50</v>
      </c>
      <c r="AB17" s="27">
        <v>-0.05</v>
      </c>
      <c r="AC17" s="27">
        <v>-4.09</v>
      </c>
      <c r="AD17" s="27">
        <v>-1.63</v>
      </c>
      <c r="AE17" s="27">
        <v>0</v>
      </c>
      <c r="AF17" s="27">
        <v>-0.36</v>
      </c>
      <c r="AG17" s="27">
        <v>-2.0299999999999998</v>
      </c>
      <c r="AH17" s="27">
        <v>-0.86</v>
      </c>
      <c r="AI17" s="27">
        <v>-3.12</v>
      </c>
      <c r="AJ17" s="27">
        <v>-1.64</v>
      </c>
      <c r="AK17" s="27">
        <v>-1.43</v>
      </c>
      <c r="AL17" s="27">
        <v>-0.72</v>
      </c>
      <c r="AM17" s="27">
        <v>-3.06</v>
      </c>
      <c r="AN17" s="27">
        <v>-3.55</v>
      </c>
      <c r="AO17" s="27">
        <v>-0.16</v>
      </c>
      <c r="AP17" s="27">
        <v>-4.78</v>
      </c>
      <c r="AQ17" s="27">
        <v>-4.82</v>
      </c>
    </row>
    <row r="18" spans="1:43" x14ac:dyDescent="0.2">
      <c r="A18" s="9" t="s">
        <v>51</v>
      </c>
      <c r="B18" s="9" t="s">
        <v>52</v>
      </c>
      <c r="C18" s="12">
        <v>2.5999999999999999E-2</v>
      </c>
      <c r="D18">
        <v>8.0000000000000002E-3</v>
      </c>
      <c r="E18" s="11">
        <v>1.2522197159999999</v>
      </c>
      <c r="F18" s="10"/>
      <c r="G18" s="10"/>
      <c r="H18">
        <v>-5.2190000000000003</v>
      </c>
      <c r="I18">
        <v>-4.7329999999999997</v>
      </c>
      <c r="J18">
        <f t="shared" si="1"/>
        <v>0.48600000000000065</v>
      </c>
      <c r="K18" s="10">
        <v>0.50190871800000003</v>
      </c>
      <c r="L18">
        <v>8.0000000000000002E-3</v>
      </c>
      <c r="M18">
        <v>0.47599999999999998</v>
      </c>
      <c r="N18" s="12">
        <v>4.20753E-4</v>
      </c>
      <c r="O18" s="12">
        <v>1.6981609999999999E-3</v>
      </c>
      <c r="P18" s="12">
        <v>2.4058529999999999E-3</v>
      </c>
      <c r="Q18">
        <v>20.643999999999998</v>
      </c>
      <c r="R18">
        <v>-646.53</v>
      </c>
      <c r="S18">
        <v>1</v>
      </c>
      <c r="T18">
        <v>0</v>
      </c>
      <c r="U18" s="13">
        <v>112.16</v>
      </c>
      <c r="V18" s="13">
        <v>109.59</v>
      </c>
      <c r="W18" s="13">
        <v>111.39</v>
      </c>
      <c r="X18" s="13">
        <v>110.24</v>
      </c>
      <c r="Y18" s="9" t="s">
        <v>51</v>
      </c>
      <c r="Z18" s="29" t="s">
        <v>52</v>
      </c>
      <c r="AA18" s="29" t="s">
        <v>52</v>
      </c>
      <c r="AB18" s="27">
        <v>0.13</v>
      </c>
      <c r="AC18" s="27">
        <v>-3.61</v>
      </c>
      <c r="AD18" s="27">
        <v>-1.57</v>
      </c>
      <c r="AE18" s="27">
        <v>0.1</v>
      </c>
      <c r="AF18" s="27">
        <v>-0.45</v>
      </c>
      <c r="AG18" s="27">
        <v>-1.41</v>
      </c>
      <c r="AH18" s="27">
        <v>-0.32</v>
      </c>
      <c r="AI18" s="27">
        <v>-2.6</v>
      </c>
      <c r="AJ18" s="27">
        <v>-1.34</v>
      </c>
      <c r="AK18" s="27">
        <v>-1.35</v>
      </c>
      <c r="AL18" s="27">
        <v>-0.53</v>
      </c>
      <c r="AM18" s="27">
        <v>-2.6</v>
      </c>
      <c r="AN18" s="27">
        <v>-3.57</v>
      </c>
      <c r="AO18" s="27">
        <v>-0.17</v>
      </c>
      <c r="AP18" s="27">
        <v>-4.03</v>
      </c>
      <c r="AQ18" s="27">
        <v>-4.25</v>
      </c>
    </row>
    <row r="19" spans="1:43" x14ac:dyDescent="0.2">
      <c r="A19" s="9" t="s">
        <v>53</v>
      </c>
      <c r="B19" s="9" t="s">
        <v>52</v>
      </c>
      <c r="C19" s="10">
        <v>0.167826526</v>
      </c>
      <c r="D19" s="12">
        <v>5.6000000000000001E-2</v>
      </c>
      <c r="E19" s="11">
        <v>1.638173364</v>
      </c>
      <c r="F19" s="10"/>
      <c r="G19" s="10"/>
      <c r="H19">
        <v>-4.6529999999999996</v>
      </c>
      <c r="I19">
        <v>-4.2110000000000003</v>
      </c>
      <c r="J19">
        <f t="shared" si="1"/>
        <v>0.44199999999999928</v>
      </c>
      <c r="K19" s="10">
        <v>0.66198240699999999</v>
      </c>
      <c r="L19">
        <v>5.6000000000000001E-2</v>
      </c>
      <c r="M19">
        <v>0.49399999999999999</v>
      </c>
      <c r="N19" s="12">
        <v>2.7841490000000001E-3</v>
      </c>
      <c r="O19" s="12">
        <v>3.8668439999999999E-3</v>
      </c>
      <c r="P19" s="12">
        <v>1.0586973E-2</v>
      </c>
      <c r="Q19">
        <v>22.033999999999999</v>
      </c>
      <c r="R19">
        <v>-747.23500000000001</v>
      </c>
      <c r="S19">
        <v>1</v>
      </c>
      <c r="T19">
        <v>0</v>
      </c>
      <c r="U19" s="13">
        <v>114.9</v>
      </c>
      <c r="V19" s="13">
        <v>107.8</v>
      </c>
      <c r="W19" s="13">
        <v>111.19</v>
      </c>
      <c r="X19" s="13">
        <v>111.43</v>
      </c>
      <c r="Y19" s="9" t="s">
        <v>53</v>
      </c>
      <c r="Z19" s="29" t="s">
        <v>52</v>
      </c>
      <c r="AA19" s="29" t="s">
        <v>52</v>
      </c>
      <c r="AB19" s="27">
        <v>0.13</v>
      </c>
      <c r="AC19" s="27">
        <v>-3.61</v>
      </c>
      <c r="AD19" s="27">
        <v>-1.57</v>
      </c>
      <c r="AE19" s="27">
        <v>0.1</v>
      </c>
      <c r="AF19" s="27">
        <v>-0.45</v>
      </c>
      <c r="AG19" s="27">
        <v>-1.41</v>
      </c>
      <c r="AH19" s="27">
        <v>-0.32</v>
      </c>
      <c r="AI19" s="27">
        <v>-2.6</v>
      </c>
      <c r="AJ19" s="27">
        <v>-1.34</v>
      </c>
      <c r="AK19" s="27">
        <v>-1.35</v>
      </c>
      <c r="AL19" s="27">
        <v>-0.53</v>
      </c>
      <c r="AM19" s="27">
        <v>-2.6</v>
      </c>
      <c r="AN19" s="27">
        <v>-3.57</v>
      </c>
      <c r="AO19" s="27">
        <v>-0.17</v>
      </c>
      <c r="AP19" s="27">
        <v>-4.03</v>
      </c>
      <c r="AQ19" s="27">
        <v>-4.25</v>
      </c>
    </row>
    <row r="20" spans="1:43" x14ac:dyDescent="0.2">
      <c r="A20" s="9" t="s">
        <v>54</v>
      </c>
      <c r="B20" s="9" t="s">
        <v>55</v>
      </c>
      <c r="C20" s="10">
        <v>0.1193</v>
      </c>
      <c r="D20">
        <v>7.954E-2</v>
      </c>
      <c r="E20" s="11">
        <v>1.75</v>
      </c>
      <c r="F20" s="10"/>
      <c r="G20" s="10"/>
      <c r="H20">
        <f>27.2114*-0.20454</f>
        <v>-5.5658197559999998</v>
      </c>
      <c r="I20">
        <f>27.2114*-0.18515</f>
        <v>-5.0381907100000003</v>
      </c>
      <c r="J20">
        <f t="shared" si="1"/>
        <v>0.52762904599999949</v>
      </c>
      <c r="K20" s="10">
        <v>0.67610000000000003</v>
      </c>
      <c r="L20">
        <v>7.954E-2</v>
      </c>
      <c r="M20">
        <v>0.55700000000000005</v>
      </c>
      <c r="N20">
        <v>2.6180768740577702E-3</v>
      </c>
      <c r="O20">
        <v>2.0369095473014901E-3</v>
      </c>
      <c r="P20">
        <v>3.29633080392191E-3</v>
      </c>
      <c r="Q20">
        <v>32.614899999999999</v>
      </c>
      <c r="R20">
        <v>-582.197</v>
      </c>
      <c r="S20">
        <v>1</v>
      </c>
      <c r="T20">
        <v>0</v>
      </c>
      <c r="U20" s="13">
        <v>112.64</v>
      </c>
      <c r="V20" s="13">
        <v>110.01</v>
      </c>
      <c r="W20" s="13">
        <v>111.97</v>
      </c>
      <c r="X20" s="13">
        <v>110.39</v>
      </c>
      <c r="Y20" s="9" t="s">
        <v>54</v>
      </c>
      <c r="Z20" s="29" t="s">
        <v>55</v>
      </c>
      <c r="AA20" s="29" t="s">
        <v>55</v>
      </c>
      <c r="AB20" s="27">
        <v>0.33</v>
      </c>
      <c r="AC20" s="27">
        <v>-2.78</v>
      </c>
      <c r="AD20" s="27">
        <v>-0.36</v>
      </c>
      <c r="AE20" s="27">
        <v>-7.02</v>
      </c>
      <c r="AF20" s="27">
        <v>0.03</v>
      </c>
      <c r="AG20" s="27">
        <v>-1.08</v>
      </c>
      <c r="AH20" s="27">
        <v>-5.65</v>
      </c>
      <c r="AI20" s="27">
        <v>-0.99</v>
      </c>
      <c r="AJ20" s="27">
        <v>-7.0000000000000007E-2</v>
      </c>
      <c r="AK20" s="27">
        <v>0.05</v>
      </c>
      <c r="AL20" s="27">
        <v>-1.33</v>
      </c>
      <c r="AM20" s="27">
        <v>-0.44</v>
      </c>
      <c r="AN20" s="27">
        <v>-2.2200000000000002</v>
      </c>
      <c r="AO20" s="27">
        <v>0.04</v>
      </c>
      <c r="AP20" s="27">
        <v>-1.19</v>
      </c>
      <c r="AQ20" s="27">
        <v>-0.67</v>
      </c>
    </row>
    <row r="21" spans="1:43" x14ac:dyDescent="0.2">
      <c r="A21" t="s">
        <v>56</v>
      </c>
      <c r="B21" s="9" t="s">
        <v>57</v>
      </c>
      <c r="C21" s="10">
        <v>6.7500000000000004E-2</v>
      </c>
      <c r="D21">
        <v>4.7280000000000003E-2</v>
      </c>
      <c r="E21" s="11">
        <v>1.35</v>
      </c>
      <c r="G21" s="10"/>
      <c r="H21">
        <f>27.2114*-0.1565</f>
        <v>-4.2585841000000002</v>
      </c>
      <c r="I21">
        <f>27.2114*-0.1396</f>
        <v>-3.7987114400000004</v>
      </c>
      <c r="J21">
        <f t="shared" si="1"/>
        <v>0.45987265999999982</v>
      </c>
      <c r="K21" s="10">
        <v>0.52680000000000005</v>
      </c>
      <c r="L21">
        <v>4.7280000000000003E-2</v>
      </c>
      <c r="M21">
        <v>0.41870000000000002</v>
      </c>
      <c r="N21">
        <v>-3.01996113052314E-2</v>
      </c>
      <c r="O21">
        <v>-1.2051964279514001E-2</v>
      </c>
      <c r="P21">
        <v>-2.0044192422399101E-2</v>
      </c>
      <c r="Q21">
        <v>6.1863999999999999</v>
      </c>
      <c r="R21">
        <v>-399.86399999999998</v>
      </c>
      <c r="S21">
        <v>1</v>
      </c>
      <c r="T21">
        <v>0</v>
      </c>
      <c r="U21" s="13">
        <v>108.45</v>
      </c>
      <c r="V21" s="13">
        <v>113.94</v>
      </c>
      <c r="W21" s="13">
        <v>111.73</v>
      </c>
      <c r="X21" s="13">
        <v>111.06</v>
      </c>
      <c r="Y21" t="s">
        <v>56</v>
      </c>
      <c r="Z21" s="29" t="s">
        <v>57</v>
      </c>
      <c r="AA21" s="29" t="s">
        <v>57</v>
      </c>
      <c r="AB21" s="27">
        <v>0.22</v>
      </c>
      <c r="AC21" s="27">
        <v>-2.95</v>
      </c>
      <c r="AD21" s="27">
        <v>-0.97</v>
      </c>
      <c r="AE21" s="27">
        <v>-1.65</v>
      </c>
      <c r="AF21" s="27">
        <v>-0.18</v>
      </c>
      <c r="AG21" s="27">
        <v>-1.0900000000000001</v>
      </c>
      <c r="AH21" s="27">
        <v>-3.89</v>
      </c>
      <c r="AI21" s="27">
        <v>-1.54</v>
      </c>
      <c r="AJ21" s="27">
        <v>-0.21</v>
      </c>
      <c r="AK21" s="27">
        <v>-0.21</v>
      </c>
      <c r="AL21" s="27">
        <v>-1.27</v>
      </c>
      <c r="AM21" s="27">
        <v>-0.61</v>
      </c>
      <c r="AN21" s="27">
        <v>-2.74</v>
      </c>
      <c r="AO21" s="27">
        <v>-0.06</v>
      </c>
      <c r="AP21" s="27">
        <v>-1.51</v>
      </c>
      <c r="AQ21" s="27">
        <v>-1.48</v>
      </c>
    </row>
    <row r="22" spans="1:43" x14ac:dyDescent="0.2">
      <c r="A22" t="s">
        <v>58</v>
      </c>
      <c r="B22" s="9" t="s">
        <v>59</v>
      </c>
      <c r="C22" s="10">
        <v>0.16800000000000001</v>
      </c>
      <c r="D22">
        <v>0.11</v>
      </c>
      <c r="E22" s="11">
        <v>1.7384889240000001</v>
      </c>
      <c r="G22" s="10"/>
      <c r="H22">
        <v>-4.516</v>
      </c>
      <c r="I22">
        <v>-3.2559999999999998</v>
      </c>
      <c r="J22">
        <f t="shared" si="1"/>
        <v>1.2600000000000002</v>
      </c>
      <c r="K22" s="10">
        <v>0.659475217</v>
      </c>
      <c r="L22">
        <v>0.11</v>
      </c>
      <c r="M22">
        <v>0.49099999999999999</v>
      </c>
      <c r="N22" s="12">
        <v>-3.2120679879204798E-2</v>
      </c>
      <c r="O22" s="12">
        <v>-1.82458561917162E-2</v>
      </c>
      <c r="P22" s="12">
        <v>-2.57511327861836E-2</v>
      </c>
      <c r="Q22" s="10">
        <v>2.4710000000000001</v>
      </c>
      <c r="R22">
        <v>-330.05900000000003</v>
      </c>
      <c r="S22">
        <v>1</v>
      </c>
      <c r="T22">
        <v>0</v>
      </c>
      <c r="U22" s="13">
        <v>107.26</v>
      </c>
      <c r="V22" s="13">
        <v>114.76</v>
      </c>
      <c r="W22" s="13">
        <v>110.53</v>
      </c>
      <c r="X22" s="13">
        <v>111.88</v>
      </c>
      <c r="Y22" t="s">
        <v>58</v>
      </c>
      <c r="Z22" s="29" t="s">
        <v>59</v>
      </c>
      <c r="AA22" s="29" t="s">
        <v>59</v>
      </c>
      <c r="AB22" s="27">
        <v>-0.72</v>
      </c>
      <c r="AC22" s="27">
        <v>-5.78</v>
      </c>
      <c r="AD22" s="27">
        <v>-2.94</v>
      </c>
      <c r="AE22" s="27">
        <v>-0.67</v>
      </c>
      <c r="AF22" s="27">
        <v>-1.65</v>
      </c>
      <c r="AG22" s="27">
        <v>-3.62</v>
      </c>
      <c r="AH22" s="27">
        <v>-1.62</v>
      </c>
      <c r="AI22" s="27">
        <v>-5.7</v>
      </c>
      <c r="AJ22" s="27">
        <v>-4.1399999999999997</v>
      </c>
      <c r="AK22" s="27">
        <v>-4.01</v>
      </c>
      <c r="AL22" s="27">
        <v>-2</v>
      </c>
      <c r="AM22" s="27">
        <v>-6.82</v>
      </c>
      <c r="AN22" s="27">
        <v>-5.86</v>
      </c>
      <c r="AO22" s="27">
        <v>-1.1100000000000001</v>
      </c>
      <c r="AP22" s="27">
        <v>-9.9600000000000009</v>
      </c>
      <c r="AQ22" s="27">
        <v>-8.76</v>
      </c>
    </row>
    <row r="23" spans="1:43" x14ac:dyDescent="0.2">
      <c r="A23" s="9" t="s">
        <v>60</v>
      </c>
      <c r="B23" s="9" t="s">
        <v>60</v>
      </c>
      <c r="C23" s="10">
        <v>0</v>
      </c>
      <c r="D23">
        <v>0</v>
      </c>
      <c r="E23" s="11">
        <v>1.17</v>
      </c>
      <c r="G23" s="10"/>
      <c r="H23">
        <v>-6.0259999999999998</v>
      </c>
      <c r="I23">
        <v>-5.5970000000000004</v>
      </c>
      <c r="J23">
        <f t="shared" si="1"/>
        <v>0.42899999999999938</v>
      </c>
      <c r="K23" s="10">
        <v>0.46899999999999997</v>
      </c>
      <c r="L23">
        <v>0</v>
      </c>
      <c r="M23">
        <v>0.46899999999999997</v>
      </c>
      <c r="N23" s="16">
        <v>1.187603E-3</v>
      </c>
      <c r="O23" s="22">
        <v>-1.9538299999999999E-8</v>
      </c>
      <c r="P23" s="22">
        <v>2.8922500000000002E-18</v>
      </c>
      <c r="Q23">
        <v>1.2999999999999999E-2</v>
      </c>
      <c r="R23">
        <v>-481.64600000000002</v>
      </c>
      <c r="S23">
        <v>1</v>
      </c>
      <c r="T23">
        <v>0</v>
      </c>
      <c r="U23" s="13">
        <v>116.13</v>
      </c>
      <c r="V23" s="13">
        <v>107.97</v>
      </c>
      <c r="W23" s="13">
        <v>112.88</v>
      </c>
      <c r="X23" s="13">
        <v>112.54</v>
      </c>
      <c r="Y23" s="9" t="s">
        <v>60</v>
      </c>
      <c r="Z23" s="29" t="s">
        <v>60</v>
      </c>
      <c r="AA23" s="29" t="s">
        <v>60</v>
      </c>
      <c r="AB23" s="27">
        <v>-0.28000000000000003</v>
      </c>
      <c r="AC23" s="27">
        <v>-6.55</v>
      </c>
      <c r="AD23" s="27">
        <v>-2.57</v>
      </c>
      <c r="AE23" s="27">
        <v>-0.65</v>
      </c>
      <c r="AF23" s="27">
        <v>-1.1200000000000001</v>
      </c>
      <c r="AG23" s="27">
        <v>-3.06</v>
      </c>
      <c r="AH23" s="27">
        <v>-1.26</v>
      </c>
      <c r="AI23" s="27">
        <v>-5.15</v>
      </c>
      <c r="AJ23" s="27">
        <v>-3.09</v>
      </c>
      <c r="AK23" s="27">
        <v>-2.4900000000000002</v>
      </c>
      <c r="AL23" s="27">
        <v>-2.02</v>
      </c>
      <c r="AM23" s="27">
        <v>-5.94</v>
      </c>
      <c r="AN23" s="27">
        <v>-5.28</v>
      </c>
      <c r="AO23" s="27">
        <v>-0.82</v>
      </c>
      <c r="AP23" s="27">
        <v>-9.41</v>
      </c>
      <c r="AQ23" s="27">
        <v>-8.24</v>
      </c>
    </row>
    <row r="24" spans="1:43" x14ac:dyDescent="0.2">
      <c r="A24" s="23" t="s">
        <v>61</v>
      </c>
      <c r="C24" s="10">
        <v>0.2535</v>
      </c>
      <c r="D24">
        <v>8.4500000000000006E-2</v>
      </c>
      <c r="E24" s="11">
        <v>2.5</v>
      </c>
      <c r="G24" s="10"/>
      <c r="H24">
        <f>-0.19682*27.2114</f>
        <v>-5.3557477479999998</v>
      </c>
      <c r="I24">
        <f>-0.18043*27.2114</f>
        <v>-4.9097529020000001</v>
      </c>
      <c r="J24">
        <f t="shared" si="1"/>
        <v>0.44599484599999961</v>
      </c>
      <c r="K24" s="10">
        <v>0.92949999999999999</v>
      </c>
      <c r="L24">
        <v>0.16900000000000001</v>
      </c>
      <c r="M24">
        <v>0.59199999999999997</v>
      </c>
      <c r="N24">
        <v>3.9156271700964002E-3</v>
      </c>
      <c r="O24" s="24">
        <v>1.71673750617105E-3</v>
      </c>
      <c r="P24">
        <v>3.14059732229291E-3</v>
      </c>
      <c r="Q24">
        <v>33.698999999999998</v>
      </c>
      <c r="R24">
        <v>-630.08550000000002</v>
      </c>
      <c r="S24">
        <v>1</v>
      </c>
      <c r="T24">
        <v>0</v>
      </c>
      <c r="U24" s="13">
        <v>116.63</v>
      </c>
      <c r="V24" s="13">
        <v>105.72</v>
      </c>
      <c r="W24" s="13">
        <v>111.94</v>
      </c>
      <c r="X24" s="13">
        <v>110.01</v>
      </c>
      <c r="Y24" s="23" t="s">
        <v>61</v>
      </c>
    </row>
    <row r="25" spans="1:43" x14ac:dyDescent="0.2">
      <c r="A25" s="23" t="s">
        <v>62</v>
      </c>
      <c r="C25" s="16">
        <v>3.4000000000000002E-2</v>
      </c>
      <c r="D25">
        <v>8.5000000000000006E-3</v>
      </c>
      <c r="E25" s="11">
        <v>1.25</v>
      </c>
      <c r="G25" s="10"/>
      <c r="H25">
        <v>-5.2069999999999999</v>
      </c>
      <c r="I25">
        <v>-4.9909999999999997</v>
      </c>
      <c r="J25">
        <f t="shared" si="1"/>
        <v>0.21600000000000019</v>
      </c>
      <c r="K25" s="10">
        <v>0.49399999999999999</v>
      </c>
      <c r="L25">
        <v>1.7000000000000001E-2</v>
      </c>
      <c r="M25">
        <v>0.46</v>
      </c>
      <c r="N25" s="16">
        <v>-1.1833740000000001E-3</v>
      </c>
      <c r="O25" s="16">
        <v>1.149214E-3</v>
      </c>
      <c r="P25" s="16">
        <v>6.4961389999999997E-3</v>
      </c>
      <c r="Q25">
        <v>10.999000000000001</v>
      </c>
      <c r="R25">
        <v>-711.25400000000002</v>
      </c>
      <c r="S25">
        <v>1</v>
      </c>
      <c r="T25">
        <v>0</v>
      </c>
      <c r="U25" s="13">
        <v>113.9</v>
      </c>
      <c r="V25" s="13">
        <v>108.24</v>
      </c>
      <c r="W25" s="13">
        <v>108.29</v>
      </c>
      <c r="X25" s="13">
        <v>113.54</v>
      </c>
      <c r="Y25" s="23" t="s">
        <v>62</v>
      </c>
    </row>
    <row r="26" spans="1:43" x14ac:dyDescent="0.2">
      <c r="A26" s="25" t="s">
        <v>63</v>
      </c>
      <c r="C26" s="10">
        <v>3.5999446999999997E-2</v>
      </c>
      <c r="D26" s="26">
        <v>8.9998620000000008E-3</v>
      </c>
      <c r="E26" s="11">
        <v>1.3436793650000001</v>
      </c>
      <c r="G26" s="10"/>
      <c r="H26">
        <v>-5.4</v>
      </c>
      <c r="I26">
        <v>-5.0069999999999997</v>
      </c>
      <c r="J26">
        <f t="shared" si="1"/>
        <v>0.39300000000000068</v>
      </c>
      <c r="K26" s="10">
        <v>0.53999170699999999</v>
      </c>
      <c r="L26" s="26">
        <v>8.9998620000000008E-3</v>
      </c>
      <c r="M26" s="10">
        <v>0.50399225999999997</v>
      </c>
      <c r="N26" s="12">
        <v>9.5432729999999997E-3</v>
      </c>
      <c r="O26" s="12">
        <v>1.0964369999999999E-2</v>
      </c>
      <c r="P26" s="12">
        <v>1.2571852999999999E-2</v>
      </c>
      <c r="Q26">
        <v>34.802999999999997</v>
      </c>
      <c r="R26">
        <v>-739.64</v>
      </c>
      <c r="S26">
        <v>1</v>
      </c>
      <c r="T26">
        <v>0</v>
      </c>
      <c r="U26" s="13">
        <v>123.03</v>
      </c>
      <c r="V26" s="13">
        <v>99.66</v>
      </c>
      <c r="W26" s="13">
        <v>106.81</v>
      </c>
      <c r="X26" s="13">
        <v>115.61</v>
      </c>
      <c r="Y26" s="25" t="s">
        <v>63</v>
      </c>
    </row>
    <row r="27" spans="1:43" x14ac:dyDescent="0.2">
      <c r="A27" s="25" t="s">
        <v>64</v>
      </c>
      <c r="C27" s="10">
        <v>0.12840699</v>
      </c>
      <c r="D27" s="26">
        <v>3.2101747999999999E-2</v>
      </c>
      <c r="E27" s="11">
        <v>1.5291132409999999</v>
      </c>
      <c r="G27" s="10"/>
      <c r="H27">
        <v>-5.7729999999999997</v>
      </c>
      <c r="I27">
        <v>-5.3150000000000004</v>
      </c>
      <c r="J27">
        <f t="shared" si="1"/>
        <v>0.4579999999999993</v>
      </c>
      <c r="K27" s="10">
        <v>0.62063378599999997</v>
      </c>
      <c r="L27" s="26">
        <v>3.2101747999999999E-2</v>
      </c>
      <c r="M27" s="10">
        <v>0.49222679600000002</v>
      </c>
      <c r="N27" s="12">
        <v>3.1664093999999997E-2</v>
      </c>
      <c r="O27" s="12">
        <v>2.8963459E-2</v>
      </c>
      <c r="P27" s="12">
        <v>3.0553436999999999E-2</v>
      </c>
      <c r="Q27">
        <v>44.075000000000003</v>
      </c>
      <c r="R27">
        <v>-371.26</v>
      </c>
      <c r="S27">
        <v>1</v>
      </c>
      <c r="T27">
        <v>0</v>
      </c>
      <c r="U27" s="13">
        <v>138.85</v>
      </c>
      <c r="V27" s="13">
        <v>83.76</v>
      </c>
      <c r="W27" s="13">
        <v>108.38</v>
      </c>
      <c r="X27" s="13">
        <v>114.83</v>
      </c>
      <c r="Y27" s="25" t="s">
        <v>64</v>
      </c>
    </row>
    <row r="28" spans="1:43" x14ac:dyDescent="0.2">
      <c r="A28" s="23" t="s">
        <v>65</v>
      </c>
      <c r="B28" s="9" t="s">
        <v>66</v>
      </c>
      <c r="C28" s="10">
        <v>0.253</v>
      </c>
      <c r="D28">
        <v>5.33E-2</v>
      </c>
      <c r="E28" s="11">
        <v>1.544</v>
      </c>
      <c r="G28" s="10"/>
      <c r="H28">
        <v>-0.23896999999999999</v>
      </c>
      <c r="I28">
        <v>-0.22922999999999999</v>
      </c>
      <c r="J28">
        <f t="shared" si="1"/>
        <v>9.7399999999999987E-3</v>
      </c>
      <c r="K28" s="10">
        <v>0.5464</v>
      </c>
      <c r="L28">
        <v>0.34649999999999997</v>
      </c>
      <c r="M28">
        <v>0</v>
      </c>
      <c r="N28">
        <v>-2.9885137222576599E-2</v>
      </c>
      <c r="O28">
        <v>-5.7339011264998498E-2</v>
      </c>
      <c r="P28">
        <v>-1.50649140025657E-2</v>
      </c>
      <c r="Q28">
        <v>57.898200000000003</v>
      </c>
      <c r="R28">
        <v>-523.96600000000001</v>
      </c>
      <c r="S28">
        <v>0.73</v>
      </c>
      <c r="T28">
        <v>0.27</v>
      </c>
      <c r="U28" s="13">
        <v>109.63</v>
      </c>
      <c r="V28" s="13">
        <v>111.84</v>
      </c>
      <c r="W28" s="13">
        <v>113.06</v>
      </c>
      <c r="X28" s="13">
        <v>109.96</v>
      </c>
      <c r="Y28" s="23" t="s">
        <v>65</v>
      </c>
      <c r="Z28" s="9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9CCA-9A8D-0C45-833C-1007503BEBF9}">
  <dimension ref="A1:AQ28"/>
  <sheetViews>
    <sheetView tabSelected="1" workbookViewId="0">
      <selection activeCell="G1" sqref="G1"/>
    </sheetView>
  </sheetViews>
  <sheetFormatPr baseColWidth="10" defaultRowHeight="16" x14ac:dyDescent="0.2"/>
  <cols>
    <col min="25" max="25" width="17.5" bestFit="1" customWidth="1"/>
    <col min="26" max="27" width="20.5" bestFit="1" customWidth="1"/>
  </cols>
  <sheetData>
    <row r="1" spans="1:43" ht="119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3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" t="s">
        <v>0</v>
      </c>
      <c r="Z1" s="1" t="s">
        <v>1</v>
      </c>
      <c r="AA1" s="27" t="s">
        <v>67</v>
      </c>
      <c r="AB1" s="9" t="s">
        <v>68</v>
      </c>
      <c r="AC1" s="9" t="s">
        <v>69</v>
      </c>
      <c r="AD1" s="9" t="s">
        <v>70</v>
      </c>
      <c r="AE1" s="9" t="s">
        <v>71</v>
      </c>
      <c r="AF1" s="9" t="s">
        <v>72</v>
      </c>
      <c r="AG1" s="9" t="s">
        <v>73</v>
      </c>
      <c r="AH1" s="9" t="s">
        <v>74</v>
      </c>
      <c r="AI1" s="28" t="s">
        <v>75</v>
      </c>
      <c r="AJ1" s="9" t="s">
        <v>76</v>
      </c>
      <c r="AK1" s="9" t="s">
        <v>77</v>
      </c>
      <c r="AL1" s="9" t="s">
        <v>78</v>
      </c>
      <c r="AM1" s="9" t="s">
        <v>79</v>
      </c>
      <c r="AN1" s="9" t="s">
        <v>80</v>
      </c>
      <c r="AO1" s="9" t="s">
        <v>81</v>
      </c>
      <c r="AP1" s="9" t="s">
        <v>82</v>
      </c>
      <c r="AQ1" s="9" t="s">
        <v>83</v>
      </c>
    </row>
    <row r="2" spans="1:43" x14ac:dyDescent="0.2">
      <c r="A2" t="s">
        <v>24</v>
      </c>
      <c r="B2" s="9" t="s">
        <v>25</v>
      </c>
      <c r="C2" s="10">
        <v>0.433</v>
      </c>
      <c r="D2">
        <v>0</v>
      </c>
      <c r="E2" s="11">
        <v>1.1299999999999999</v>
      </c>
      <c r="F2" s="10"/>
      <c r="G2" s="10"/>
      <c r="H2">
        <v>-6.6479999999999997</v>
      </c>
      <c r="I2">
        <v>-6.3019999999999996</v>
      </c>
      <c r="J2">
        <f>ABS(H2-I2)</f>
        <v>0.34600000000000009</v>
      </c>
      <c r="K2" s="10">
        <v>0.377</v>
      </c>
      <c r="L2">
        <v>0.26</v>
      </c>
      <c r="M2">
        <v>0</v>
      </c>
      <c r="N2" s="12">
        <v>-5.3800000000000002E-3</v>
      </c>
      <c r="O2" s="12">
        <v>-4.9500000000000004E-3</v>
      </c>
      <c r="P2" s="12">
        <v>-7.5000000000000002E-4</v>
      </c>
      <c r="Q2">
        <v>68.177000000000007</v>
      </c>
      <c r="R2">
        <v>-524.101</v>
      </c>
      <c r="S2">
        <v>1</v>
      </c>
      <c r="T2">
        <v>0</v>
      </c>
      <c r="U2" s="13">
        <v>105.1</v>
      </c>
      <c r="V2" s="13">
        <v>109.73</v>
      </c>
      <c r="W2" s="13">
        <v>104.78</v>
      </c>
      <c r="X2" s="13">
        <v>111.9</v>
      </c>
      <c r="Y2" t="s">
        <v>24</v>
      </c>
      <c r="Z2" s="29" t="s">
        <v>25</v>
      </c>
      <c r="AA2" s="29" t="s">
        <v>25</v>
      </c>
      <c r="AB2" s="27">
        <v>-0.47</v>
      </c>
      <c r="AC2" s="27">
        <v>-1.34</v>
      </c>
      <c r="AD2" s="27">
        <v>-0.81</v>
      </c>
      <c r="AE2" s="27">
        <v>-0.16</v>
      </c>
      <c r="AF2" s="27">
        <v>-0.67</v>
      </c>
      <c r="AG2" s="27">
        <v>-1.04</v>
      </c>
      <c r="AH2" s="27">
        <v>-0.46</v>
      </c>
      <c r="AI2" s="27">
        <v>-1.51</v>
      </c>
      <c r="AJ2" s="27">
        <v>-1.75</v>
      </c>
      <c r="AK2" s="27">
        <v>-1.65</v>
      </c>
      <c r="AL2" s="27">
        <v>-0.53</v>
      </c>
      <c r="AM2" s="27">
        <v>-1.92</v>
      </c>
      <c r="AN2" s="27">
        <v>-2</v>
      </c>
      <c r="AO2" s="27">
        <v>-0.42</v>
      </c>
      <c r="AP2" s="27">
        <v>-1.97</v>
      </c>
      <c r="AQ2" s="27">
        <v>-2.84</v>
      </c>
    </row>
    <row r="3" spans="1:43" x14ac:dyDescent="0.2">
      <c r="A3" t="s">
        <v>26</v>
      </c>
      <c r="B3" s="9" t="s">
        <v>27</v>
      </c>
      <c r="C3" s="10">
        <v>0.36799999999999999</v>
      </c>
      <c r="D3">
        <v>0</v>
      </c>
      <c r="E3" s="11">
        <v>1.1000000000000001</v>
      </c>
      <c r="F3" s="10"/>
      <c r="G3" s="10"/>
      <c r="H3">
        <f>27.2114*-0.26002</f>
        <v>-7.0755082279999995</v>
      </c>
      <c r="I3">
        <f>27.2114*-0.25168</f>
        <v>-6.8485651520000008</v>
      </c>
      <c r="J3">
        <f>ABS(H3-I3)</f>
        <v>0.22694307599999863</v>
      </c>
      <c r="K3" s="10">
        <v>0.36799999999999999</v>
      </c>
      <c r="L3">
        <v>0.245</v>
      </c>
      <c r="M3">
        <v>0</v>
      </c>
      <c r="N3" s="14">
        <v>-5.3364998332879999E-8</v>
      </c>
      <c r="O3" s="14">
        <v>2.6682499161700202E-8</v>
      </c>
      <c r="P3" s="14">
        <v>-5.3364998261783501E-9</v>
      </c>
      <c r="Q3">
        <v>68.639799999999994</v>
      </c>
      <c r="R3" s="14">
        <v>-628.88660000000004</v>
      </c>
      <c r="S3">
        <v>1</v>
      </c>
      <c r="T3">
        <v>0</v>
      </c>
      <c r="U3" s="15">
        <v>113.56</v>
      </c>
      <c r="V3" s="15">
        <v>108.93</v>
      </c>
      <c r="W3" s="15">
        <v>110.64</v>
      </c>
      <c r="X3" s="15">
        <v>112.21</v>
      </c>
      <c r="Y3" t="s">
        <v>26</v>
      </c>
      <c r="Z3" s="29" t="s">
        <v>27</v>
      </c>
      <c r="AA3" s="29" t="s">
        <v>27</v>
      </c>
      <c r="AB3" s="27">
        <v>-0.22</v>
      </c>
      <c r="AC3" s="27">
        <v>-1.02</v>
      </c>
      <c r="AD3" s="27">
        <v>-0.62</v>
      </c>
      <c r="AE3" s="27">
        <v>0</v>
      </c>
      <c r="AF3" s="27">
        <v>-0.52</v>
      </c>
      <c r="AG3" s="27">
        <v>-0.83</v>
      </c>
      <c r="AH3" s="27">
        <v>-0.26</v>
      </c>
      <c r="AI3" s="27">
        <v>-1.17</v>
      </c>
      <c r="AJ3" s="27">
        <v>-0.96</v>
      </c>
      <c r="AK3" s="27">
        <v>-1</v>
      </c>
      <c r="AL3" s="27">
        <v>-0.41</v>
      </c>
      <c r="AM3" s="27">
        <v>-0.97</v>
      </c>
      <c r="AN3" s="27">
        <v>-1.57</v>
      </c>
      <c r="AO3" s="27">
        <v>-0.23</v>
      </c>
      <c r="AP3" s="27">
        <v>-1.83</v>
      </c>
      <c r="AQ3" s="27">
        <v>-1.47</v>
      </c>
    </row>
    <row r="4" spans="1:43" x14ac:dyDescent="0.2">
      <c r="A4" t="s">
        <v>28</v>
      </c>
      <c r="B4" s="9" t="s">
        <v>29</v>
      </c>
      <c r="C4" s="10">
        <v>5.0999999999999997E-2</v>
      </c>
      <c r="D4">
        <v>1.29E-2</v>
      </c>
      <c r="E4" s="11">
        <v>0.97299999999999998</v>
      </c>
      <c r="F4" s="10"/>
      <c r="G4" s="10"/>
      <c r="H4">
        <f>27.2114*-0.15449</f>
        <v>-4.2038891859999996</v>
      </c>
      <c r="I4">
        <f>27.2114*-0.14283</f>
        <v>-3.8866042620000005</v>
      </c>
      <c r="J4">
        <f t="shared" ref="J4:J7" si="0">ABS(H4-I4)</f>
        <v>0.31728492399999908</v>
      </c>
      <c r="K4" s="10">
        <v>0.36030000000000001</v>
      </c>
      <c r="L4">
        <v>0.21199999999999999</v>
      </c>
      <c r="M4">
        <v>0</v>
      </c>
      <c r="N4">
        <v>5.8694289625911299E-2</v>
      </c>
      <c r="O4">
        <v>3.99929327398586E-2</v>
      </c>
      <c r="P4">
        <v>6.9406734595922004E-2</v>
      </c>
      <c r="Q4">
        <v>116.1495</v>
      </c>
      <c r="R4">
        <v>-169.65799999999999</v>
      </c>
      <c r="S4">
        <v>0.625</v>
      </c>
      <c r="T4">
        <v>0.375</v>
      </c>
      <c r="U4" s="13">
        <v>99.85</v>
      </c>
      <c r="V4" s="13">
        <v>117.25</v>
      </c>
      <c r="W4" s="13">
        <v>91.7</v>
      </c>
      <c r="X4" s="13">
        <v>9.43</v>
      </c>
      <c r="Y4" t="s">
        <v>28</v>
      </c>
      <c r="Z4" s="29" t="s">
        <v>29</v>
      </c>
      <c r="AA4" s="29" t="s">
        <v>29</v>
      </c>
      <c r="AB4" s="27">
        <v>0.59</v>
      </c>
      <c r="AC4" s="27">
        <v>-0.12</v>
      </c>
      <c r="AD4" s="27">
        <v>0.15</v>
      </c>
      <c r="AE4" s="27">
        <v>-1.73</v>
      </c>
      <c r="AF4" s="27">
        <v>0.51</v>
      </c>
      <c r="AG4" s="27">
        <v>0.26</v>
      </c>
      <c r="AH4" s="27">
        <v>-3.17</v>
      </c>
      <c r="AI4" s="27">
        <v>0.43</v>
      </c>
      <c r="AJ4" s="27">
        <v>0.68</v>
      </c>
      <c r="AK4" s="27">
        <v>0.7</v>
      </c>
      <c r="AL4" s="27">
        <v>-0.33</v>
      </c>
      <c r="AM4" s="27">
        <v>0.62</v>
      </c>
      <c r="AN4" s="27">
        <v>0.28999999999999998</v>
      </c>
      <c r="AO4" s="27">
        <v>0.44</v>
      </c>
      <c r="AP4" s="27">
        <v>0.5</v>
      </c>
      <c r="AQ4" s="27">
        <v>0.46</v>
      </c>
    </row>
    <row r="5" spans="1:43" x14ac:dyDescent="0.2">
      <c r="A5" t="s">
        <v>30</v>
      </c>
      <c r="B5" s="9" t="s">
        <v>31</v>
      </c>
      <c r="C5" s="10">
        <v>0.11600000000000001</v>
      </c>
      <c r="D5">
        <v>4.9799999999999997E-2</v>
      </c>
      <c r="E5" s="11">
        <v>1.1327</v>
      </c>
      <c r="F5" s="10"/>
      <c r="G5" s="10"/>
      <c r="H5">
        <f>27.2114*-0.1969</f>
        <v>-5.3579246600000001</v>
      </c>
      <c r="I5">
        <f>27.2114*-0.18917</f>
        <v>-5.1475805380000006</v>
      </c>
      <c r="J5">
        <f t="shared" si="0"/>
        <v>0.21034412199999952</v>
      </c>
      <c r="K5" s="10">
        <v>0.41460000000000002</v>
      </c>
      <c r="L5">
        <v>0.24</v>
      </c>
      <c r="M5">
        <v>0</v>
      </c>
      <c r="N5">
        <v>3.2646504507649297E-2</v>
      </c>
      <c r="O5">
        <v>-3.2980604343463798E-3</v>
      </c>
      <c r="P5">
        <v>3.8331724439023898E-2</v>
      </c>
      <c r="Q5">
        <v>33.585500000000003</v>
      </c>
      <c r="R5">
        <v>-763.76030000000003</v>
      </c>
      <c r="S5">
        <v>0.7</v>
      </c>
      <c r="T5">
        <v>0.3</v>
      </c>
      <c r="U5" s="13">
        <v>106.16</v>
      </c>
      <c r="V5" s="13">
        <v>116.52</v>
      </c>
      <c r="W5" s="13">
        <v>112.95</v>
      </c>
      <c r="X5" s="13">
        <v>108.61</v>
      </c>
      <c r="Y5" t="s">
        <v>30</v>
      </c>
      <c r="Z5" s="29" t="s">
        <v>31</v>
      </c>
      <c r="AA5" s="29" t="s">
        <v>31</v>
      </c>
      <c r="AB5" s="27">
        <v>0.45</v>
      </c>
      <c r="AC5" s="27">
        <v>-0.66</v>
      </c>
      <c r="AD5" s="27">
        <v>0.31</v>
      </c>
      <c r="AE5" s="27">
        <v>0.49</v>
      </c>
      <c r="AF5" s="27">
        <v>0.4</v>
      </c>
      <c r="AG5" s="27">
        <v>0.37</v>
      </c>
      <c r="AH5" s="27">
        <v>0.56999999999999995</v>
      </c>
      <c r="AI5" s="27">
        <v>0.36</v>
      </c>
      <c r="AJ5" s="27">
        <v>0.47</v>
      </c>
      <c r="AK5" s="27">
        <v>0.55000000000000004</v>
      </c>
      <c r="AL5" s="27">
        <v>-0.94</v>
      </c>
      <c r="AM5" s="27">
        <v>0.46</v>
      </c>
      <c r="AN5" s="27">
        <v>0.18</v>
      </c>
      <c r="AO5" s="27">
        <v>0.37</v>
      </c>
      <c r="AP5" s="27">
        <v>0.49</v>
      </c>
      <c r="AQ5" s="27">
        <v>0.36</v>
      </c>
    </row>
    <row r="6" spans="1:43" x14ac:dyDescent="0.2">
      <c r="A6" t="s">
        <v>32</v>
      </c>
      <c r="B6" s="9" t="s">
        <v>33</v>
      </c>
      <c r="C6" s="10">
        <v>0.12559999999999999</v>
      </c>
      <c r="D6">
        <v>2.64E-2</v>
      </c>
      <c r="E6" s="11">
        <v>1.665</v>
      </c>
      <c r="F6" s="10"/>
      <c r="G6" s="10"/>
      <c r="H6">
        <v>-0.18690000000000001</v>
      </c>
      <c r="I6">
        <v>-0.17274</v>
      </c>
      <c r="J6">
        <f t="shared" si="0"/>
        <v>1.4160000000000006E-2</v>
      </c>
      <c r="K6" s="10">
        <v>0.58799999999999997</v>
      </c>
      <c r="L6">
        <v>0.38350000000000001</v>
      </c>
      <c r="M6">
        <v>0</v>
      </c>
      <c r="N6" s="14">
        <v>-2.9360019874653502E-18</v>
      </c>
      <c r="O6" s="14">
        <v>1.9833866175723299E-8</v>
      </c>
      <c r="P6" s="14">
        <v>6.6112887358841296E-9</v>
      </c>
      <c r="Q6">
        <v>244.01840000000001</v>
      </c>
      <c r="R6">
        <v>-629.41240000000005</v>
      </c>
      <c r="S6">
        <v>0.7</v>
      </c>
      <c r="T6">
        <v>0.3</v>
      </c>
      <c r="U6" s="13">
        <v>100.92</v>
      </c>
      <c r="V6" s="13">
        <v>114.46</v>
      </c>
      <c r="W6" s="13">
        <v>112.79</v>
      </c>
      <c r="X6" s="13">
        <v>112.55</v>
      </c>
      <c r="Y6" t="s">
        <v>32</v>
      </c>
      <c r="Z6" s="29" t="s">
        <v>33</v>
      </c>
      <c r="AA6" s="29" t="s">
        <v>33</v>
      </c>
      <c r="AB6" s="27">
        <v>0.53</v>
      </c>
      <c r="AC6" s="27">
        <v>-0.62</v>
      </c>
      <c r="AD6" s="27">
        <v>0.22</v>
      </c>
      <c r="AE6" s="27">
        <v>-0.34</v>
      </c>
      <c r="AF6" s="27">
        <v>0.46</v>
      </c>
      <c r="AG6" s="27">
        <v>0.34</v>
      </c>
      <c r="AH6" s="27">
        <v>-0.49</v>
      </c>
      <c r="AI6" s="27">
        <v>0.31</v>
      </c>
      <c r="AJ6" s="27">
        <v>0.55000000000000004</v>
      </c>
      <c r="AK6" s="27">
        <v>0.59</v>
      </c>
      <c r="AL6" s="27">
        <v>-0.65</v>
      </c>
      <c r="AM6" s="27">
        <v>0.52</v>
      </c>
      <c r="AN6" s="27">
        <v>0.14000000000000001</v>
      </c>
      <c r="AO6" s="27">
        <v>0.41</v>
      </c>
      <c r="AP6" s="27">
        <v>0.42</v>
      </c>
      <c r="AQ6" s="27">
        <v>0.41</v>
      </c>
    </row>
    <row r="7" spans="1:43" x14ac:dyDescent="0.2">
      <c r="A7" t="s">
        <v>34</v>
      </c>
      <c r="B7" s="9" t="s">
        <v>35</v>
      </c>
      <c r="C7" s="10">
        <v>0.42599999999999999</v>
      </c>
      <c r="D7">
        <v>0</v>
      </c>
      <c r="E7" s="11">
        <v>0.92</v>
      </c>
      <c r="F7" s="10"/>
      <c r="G7" s="10"/>
      <c r="H7">
        <v>-0.14910000000000001</v>
      </c>
      <c r="I7">
        <v>-8.7900000000000006E-2</v>
      </c>
      <c r="J7">
        <f t="shared" si="0"/>
        <v>6.1200000000000004E-2</v>
      </c>
      <c r="K7" s="10">
        <v>0.31900000000000001</v>
      </c>
      <c r="L7">
        <v>0.20300000000000001</v>
      </c>
      <c r="M7">
        <v>0</v>
      </c>
      <c r="N7" s="16">
        <v>-2.9455769999999999E-2</v>
      </c>
      <c r="O7" s="16">
        <v>-3.2641099E-2</v>
      </c>
      <c r="P7" s="16">
        <v>-7.423687E-3</v>
      </c>
      <c r="Q7">
        <v>355.10629999999998</v>
      </c>
      <c r="R7">
        <v>-1124.4580000000001</v>
      </c>
      <c r="S7">
        <v>0.6</v>
      </c>
      <c r="T7">
        <v>0.4</v>
      </c>
      <c r="U7" s="15">
        <v>114.37</v>
      </c>
      <c r="V7" s="15">
        <v>109.94</v>
      </c>
      <c r="W7" s="15">
        <v>107.03</v>
      </c>
      <c r="X7" s="15">
        <v>118.54</v>
      </c>
      <c r="Y7" t="s">
        <v>34</v>
      </c>
      <c r="Z7" s="29" t="s">
        <v>35</v>
      </c>
      <c r="AA7" s="29" t="s">
        <v>35</v>
      </c>
      <c r="AB7" s="27">
        <v>0.36</v>
      </c>
      <c r="AC7" s="27">
        <v>0.35</v>
      </c>
      <c r="AD7" s="27">
        <v>0.2</v>
      </c>
      <c r="AE7" s="27">
        <v>0.26</v>
      </c>
      <c r="AF7" s="27">
        <v>0.3</v>
      </c>
      <c r="AG7" s="27">
        <v>0.2</v>
      </c>
      <c r="AH7" s="27">
        <v>0.16</v>
      </c>
      <c r="AI7" s="27">
        <v>0.14000000000000001</v>
      </c>
      <c r="AJ7" s="27">
        <v>0.33</v>
      </c>
      <c r="AK7" s="27">
        <v>0.28000000000000003</v>
      </c>
      <c r="AL7" s="27">
        <v>0.25</v>
      </c>
      <c r="AM7" s="27">
        <v>0.23</v>
      </c>
      <c r="AN7" s="27">
        <v>-0.1</v>
      </c>
      <c r="AO7" s="27">
        <v>0.25</v>
      </c>
      <c r="AP7" s="27">
        <v>0.16</v>
      </c>
      <c r="AQ7" s="27">
        <v>0.17</v>
      </c>
    </row>
    <row r="8" spans="1:43" x14ac:dyDescent="0.2">
      <c r="A8" t="s">
        <v>36</v>
      </c>
      <c r="B8" s="9" t="s">
        <v>37</v>
      </c>
      <c r="C8" s="17">
        <v>0.20240654399999999</v>
      </c>
      <c r="D8">
        <v>0</v>
      </c>
      <c r="E8" s="18">
        <v>0.37200926899999998</v>
      </c>
      <c r="F8" s="17">
        <v>3.130817</v>
      </c>
      <c r="G8" s="17">
        <v>3.4402919999999999</v>
      </c>
      <c r="H8">
        <v>-3.5270000000000001</v>
      </c>
      <c r="I8">
        <v>-3.097</v>
      </c>
      <c r="J8">
        <f>ABS(H8-I8)</f>
        <v>0.43000000000000016</v>
      </c>
      <c r="K8" s="17">
        <v>0.18099999999999999</v>
      </c>
      <c r="L8">
        <v>0.09</v>
      </c>
      <c r="M8">
        <v>0</v>
      </c>
      <c r="N8" s="19">
        <v>9.9388600000000006E-5</v>
      </c>
      <c r="O8" s="12">
        <v>-4.8000000000000001E-4</v>
      </c>
      <c r="P8" s="19">
        <v>-7.4848499999999993E-5</v>
      </c>
      <c r="Q8">
        <v>409.52</v>
      </c>
      <c r="R8">
        <v>-820.005</v>
      </c>
      <c r="S8">
        <v>0.5</v>
      </c>
      <c r="T8">
        <v>0.5</v>
      </c>
      <c r="U8" s="13">
        <v>112.72</v>
      </c>
      <c r="V8" s="13">
        <v>111.21</v>
      </c>
      <c r="W8" s="13">
        <v>112.22</v>
      </c>
      <c r="X8" s="13">
        <v>112.24</v>
      </c>
      <c r="Y8" t="s">
        <v>36</v>
      </c>
      <c r="Z8" s="29" t="s">
        <v>37</v>
      </c>
      <c r="AA8" s="29" t="s">
        <v>37</v>
      </c>
      <c r="AB8" s="27">
        <v>0.32</v>
      </c>
      <c r="AC8" s="27">
        <v>0.55000000000000004</v>
      </c>
      <c r="AD8" s="27">
        <v>0.27</v>
      </c>
      <c r="AE8" s="27">
        <v>0.46</v>
      </c>
      <c r="AF8" s="27">
        <v>0.33</v>
      </c>
      <c r="AG8" s="27">
        <v>0.28999999999999998</v>
      </c>
      <c r="AH8" s="27">
        <v>0.45</v>
      </c>
      <c r="AI8" s="27">
        <v>0.44</v>
      </c>
      <c r="AJ8" s="27">
        <v>0.27</v>
      </c>
      <c r="AK8" s="27">
        <v>0.33</v>
      </c>
      <c r="AL8" s="27">
        <v>0.55000000000000004</v>
      </c>
      <c r="AM8" s="27">
        <v>0.51</v>
      </c>
      <c r="AN8" s="27">
        <v>0</v>
      </c>
      <c r="AO8" s="27">
        <v>0.08</v>
      </c>
      <c r="AP8" s="27">
        <v>0.36</v>
      </c>
      <c r="AQ8" s="27">
        <v>0.51</v>
      </c>
    </row>
    <row r="9" spans="1:43" x14ac:dyDescent="0.2">
      <c r="A9" s="9" t="s">
        <v>38</v>
      </c>
      <c r="B9" s="9" t="s">
        <v>38</v>
      </c>
      <c r="C9" s="17">
        <v>0.24048371900000001</v>
      </c>
      <c r="D9">
        <v>0</v>
      </c>
      <c r="E9" s="18">
        <v>0.396798137</v>
      </c>
      <c r="F9" s="10">
        <v>4.165</v>
      </c>
      <c r="G9" s="10">
        <v>3.9980000000000002</v>
      </c>
      <c r="H9">
        <v>-4.4000000000000004</v>
      </c>
      <c r="I9">
        <v>-3.7709999999999999</v>
      </c>
      <c r="J9">
        <f t="shared" ref="J9:J28" si="1">ABS(H9-I9)</f>
        <v>0.62900000000000045</v>
      </c>
      <c r="K9" s="17">
        <v>0.16533255699999999</v>
      </c>
      <c r="L9">
        <v>0</v>
      </c>
      <c r="M9">
        <v>0</v>
      </c>
      <c r="N9" s="12">
        <v>-2.9707300000000002E-4</v>
      </c>
      <c r="O9" s="12">
        <v>1.273592E-2</v>
      </c>
      <c r="P9" s="12">
        <v>-9.4948199999999997E-4</v>
      </c>
      <c r="Q9">
        <v>5.1390000000000002</v>
      </c>
      <c r="R9">
        <v>-908.88099999999997</v>
      </c>
      <c r="S9">
        <v>0</v>
      </c>
      <c r="T9">
        <v>1</v>
      </c>
      <c r="U9" s="13">
        <v>111.37</v>
      </c>
      <c r="V9" s="13">
        <v>114.04</v>
      </c>
      <c r="W9" s="13">
        <v>113.68</v>
      </c>
      <c r="X9" s="13">
        <v>113.72</v>
      </c>
      <c r="Y9" s="9" t="s">
        <v>38</v>
      </c>
      <c r="Z9" s="29" t="s">
        <v>38</v>
      </c>
      <c r="AA9" s="29" t="s">
        <v>38</v>
      </c>
      <c r="AB9" s="27">
        <v>-4.5599999999999996</v>
      </c>
      <c r="AC9" s="27">
        <v>-17.760000000000002</v>
      </c>
      <c r="AD9" s="27">
        <v>-14.06</v>
      </c>
      <c r="AE9" s="27">
        <v>-2.58</v>
      </c>
      <c r="AF9" s="27">
        <v>-7.93</v>
      </c>
      <c r="AG9" s="27">
        <v>-10.75</v>
      </c>
      <c r="AH9" s="27">
        <v>-13.98</v>
      </c>
      <c r="AI9" s="27">
        <v>-11.52</v>
      </c>
      <c r="AJ9" s="27">
        <v>-6.85</v>
      </c>
      <c r="AK9" s="27">
        <v>-5.99</v>
      </c>
      <c r="AL9" s="27">
        <v>-12.03</v>
      </c>
      <c r="AM9" s="27">
        <v>-18.05</v>
      </c>
      <c r="AN9" s="27">
        <v>-5.34</v>
      </c>
      <c r="AO9" s="27">
        <v>-4.6500000000000004</v>
      </c>
      <c r="AP9" s="27">
        <v>-11.45</v>
      </c>
      <c r="AQ9" s="27">
        <v>-14.65</v>
      </c>
    </row>
    <row r="10" spans="1:43" x14ac:dyDescent="0.2">
      <c r="A10" s="9" t="s">
        <v>39</v>
      </c>
      <c r="B10" s="9" t="s">
        <v>39</v>
      </c>
      <c r="C10" s="10">
        <v>0.23931364799999999</v>
      </c>
      <c r="D10">
        <v>0</v>
      </c>
      <c r="E10" s="18">
        <v>0.32207628500000002</v>
      </c>
      <c r="F10" s="10">
        <v>2.9670000000000001</v>
      </c>
      <c r="G10" s="10">
        <v>2.9060000000000001</v>
      </c>
      <c r="H10">
        <v>-3.2490000000000001</v>
      </c>
      <c r="I10">
        <v>-2.62</v>
      </c>
      <c r="J10">
        <f t="shared" si="1"/>
        <v>0.629</v>
      </c>
      <c r="K10" s="17">
        <v>0.169513834</v>
      </c>
      <c r="L10">
        <v>0</v>
      </c>
      <c r="M10">
        <v>0</v>
      </c>
      <c r="N10" s="12">
        <v>2.165489E-3</v>
      </c>
      <c r="O10" s="12">
        <v>1.79216E-4</v>
      </c>
      <c r="P10" s="12">
        <v>2.2676E-4</v>
      </c>
      <c r="Q10">
        <v>3.7170000000000001</v>
      </c>
      <c r="R10">
        <v>-631.08799999999997</v>
      </c>
      <c r="S10">
        <v>0</v>
      </c>
      <c r="T10">
        <v>1</v>
      </c>
      <c r="U10" s="13">
        <v>110.36</v>
      </c>
      <c r="V10" s="13">
        <v>116.43</v>
      </c>
      <c r="W10" s="13">
        <v>114.83</v>
      </c>
      <c r="X10" s="13">
        <v>114.58</v>
      </c>
      <c r="Y10" s="9" t="s">
        <v>39</v>
      </c>
      <c r="Z10" s="29" t="s">
        <v>39</v>
      </c>
      <c r="AA10" s="29" t="s">
        <v>39</v>
      </c>
      <c r="AB10" s="27">
        <v>0.4</v>
      </c>
      <c r="AC10" s="27">
        <v>-8.1</v>
      </c>
      <c r="AD10" s="27">
        <v>-1.41</v>
      </c>
      <c r="AE10" s="27">
        <v>-0.11</v>
      </c>
      <c r="AF10" s="27">
        <v>-0.77</v>
      </c>
      <c r="AG10" s="27">
        <v>-1.8</v>
      </c>
      <c r="AH10" s="27">
        <v>-0.11</v>
      </c>
      <c r="AI10" s="27">
        <v>-2.34</v>
      </c>
      <c r="AJ10" s="27">
        <v>0.13</v>
      </c>
      <c r="AK10" s="27">
        <v>-0.05</v>
      </c>
      <c r="AL10" s="27">
        <v>-0.25</v>
      </c>
      <c r="AM10" s="27">
        <v>-3.26</v>
      </c>
      <c r="AN10" s="27">
        <v>0.21</v>
      </c>
      <c r="AO10" s="27">
        <v>0.22</v>
      </c>
      <c r="AP10" s="27">
        <v>-9.35</v>
      </c>
      <c r="AQ10" s="27">
        <v>-10.210000000000001</v>
      </c>
    </row>
    <row r="11" spans="1:43" x14ac:dyDescent="0.2">
      <c r="A11" s="9" t="s">
        <v>40</v>
      </c>
      <c r="B11" s="9" t="s">
        <v>40</v>
      </c>
      <c r="C11" s="10">
        <v>0.489205997</v>
      </c>
      <c r="D11">
        <v>0</v>
      </c>
      <c r="E11" s="11">
        <v>0.42899602799999997</v>
      </c>
      <c r="F11" s="10">
        <v>3.0259999999999998</v>
      </c>
      <c r="G11" s="10">
        <v>2.7549999999999999</v>
      </c>
      <c r="H11">
        <v>-3.1779999999999999</v>
      </c>
      <c r="I11">
        <v>-2.5550000000000002</v>
      </c>
      <c r="J11">
        <f t="shared" si="1"/>
        <v>0.62299999999999978</v>
      </c>
      <c r="K11" s="10">
        <v>0.22578738300000001</v>
      </c>
      <c r="L11">
        <v>0</v>
      </c>
      <c r="M11">
        <v>0</v>
      </c>
      <c r="N11">
        <v>2.209593E-2</v>
      </c>
      <c r="O11" s="12">
        <v>-2.4939882E-2</v>
      </c>
      <c r="P11" s="12">
        <v>6.5835799999999995E-4</v>
      </c>
      <c r="Q11">
        <v>11.161</v>
      </c>
      <c r="R11">
        <v>-983.40099999999995</v>
      </c>
      <c r="S11">
        <v>0</v>
      </c>
      <c r="T11">
        <v>1</v>
      </c>
      <c r="U11" s="13">
        <v>114.55</v>
      </c>
      <c r="V11" s="13">
        <v>114.47</v>
      </c>
      <c r="W11" s="13">
        <v>116.01</v>
      </c>
      <c r="X11" s="13">
        <v>115.46</v>
      </c>
      <c r="Y11" s="9" t="s">
        <v>40</v>
      </c>
      <c r="Z11" s="29" t="s">
        <v>40</v>
      </c>
      <c r="AA11" s="29" t="s">
        <v>40</v>
      </c>
      <c r="AB11" s="27">
        <v>-0.02</v>
      </c>
      <c r="AC11" s="27">
        <v>-16.059999999999999</v>
      </c>
      <c r="AD11" s="27">
        <v>-5.26</v>
      </c>
      <c r="AE11" s="27">
        <v>-3.31</v>
      </c>
      <c r="AF11" s="27">
        <v>-4.82</v>
      </c>
      <c r="AG11" s="27">
        <v>-6.86</v>
      </c>
      <c r="AH11" s="27">
        <v>-5.88</v>
      </c>
      <c r="AI11" s="27">
        <v>-7.63</v>
      </c>
      <c r="AJ11" s="27">
        <v>-6.15</v>
      </c>
      <c r="AK11" s="27">
        <v>-4.67</v>
      </c>
      <c r="AL11" s="27">
        <v>-8.3800000000000008</v>
      </c>
      <c r="AM11" s="27">
        <v>-6.54</v>
      </c>
      <c r="AN11" s="27">
        <v>-2.5299999999999998</v>
      </c>
      <c r="AO11" s="27">
        <v>-1.21</v>
      </c>
      <c r="AP11" s="27">
        <v>-16.739999999999998</v>
      </c>
      <c r="AQ11" s="27">
        <v>-8.6300000000000008</v>
      </c>
    </row>
    <row r="12" spans="1:43" x14ac:dyDescent="0.2">
      <c r="A12" s="9" t="s">
        <v>41</v>
      </c>
      <c r="B12" s="9" t="s">
        <v>41</v>
      </c>
      <c r="C12" s="12">
        <v>0.48399999999999999</v>
      </c>
      <c r="D12">
        <v>0</v>
      </c>
      <c r="E12" s="11">
        <v>0.4</v>
      </c>
      <c r="F12" s="10"/>
      <c r="G12" s="10"/>
      <c r="H12">
        <v>-3.2730000000000001</v>
      </c>
      <c r="I12">
        <v>-2.7130000000000001</v>
      </c>
      <c r="J12">
        <f t="shared" si="1"/>
        <v>0.56000000000000005</v>
      </c>
      <c r="K12" s="10">
        <v>0.216</v>
      </c>
      <c r="L12">
        <v>0</v>
      </c>
      <c r="M12">
        <v>0</v>
      </c>
      <c r="N12" s="19">
        <v>8.33962E-5</v>
      </c>
      <c r="O12" s="12">
        <v>-1.09685E-4</v>
      </c>
      <c r="P12" s="19">
        <v>-2.4370699999999999E-6</v>
      </c>
      <c r="Q12">
        <v>8.5900000000000004E-2</v>
      </c>
      <c r="R12">
        <v>-979.05899999999997</v>
      </c>
      <c r="S12">
        <v>0</v>
      </c>
      <c r="T12">
        <v>1</v>
      </c>
      <c r="U12" s="13">
        <v>110.41</v>
      </c>
      <c r="V12" s="13">
        <v>116.73</v>
      </c>
      <c r="W12" s="13">
        <v>114.09</v>
      </c>
      <c r="X12" s="13">
        <v>114.87</v>
      </c>
      <c r="Y12" s="9" t="s">
        <v>41</v>
      </c>
      <c r="Z12" s="29" t="s">
        <v>41</v>
      </c>
      <c r="AA12" s="29" t="s">
        <v>41</v>
      </c>
      <c r="AB12" s="27">
        <v>0.28999999999999998</v>
      </c>
      <c r="AC12" s="27">
        <v>-20.71</v>
      </c>
      <c r="AD12" s="27">
        <v>-5.52</v>
      </c>
      <c r="AE12" s="27">
        <v>-2.02</v>
      </c>
      <c r="AF12" s="27">
        <v>-3.8</v>
      </c>
      <c r="AG12" s="27">
        <v>-6.22</v>
      </c>
      <c r="AH12" s="27">
        <v>-3.07</v>
      </c>
      <c r="AI12" s="27">
        <v>-9.93</v>
      </c>
      <c r="AJ12" s="27">
        <v>-3.31</v>
      </c>
      <c r="AK12" s="27">
        <v>-1.91</v>
      </c>
      <c r="AL12" s="27">
        <v>-3.25</v>
      </c>
      <c r="AM12" s="27">
        <v>-10.15</v>
      </c>
      <c r="AN12" s="27">
        <v>-1.75</v>
      </c>
      <c r="AO12" s="27">
        <v>-0.53</v>
      </c>
      <c r="AP12" s="27">
        <v>-21.05</v>
      </c>
      <c r="AQ12" s="27">
        <v>-14.81</v>
      </c>
    </row>
    <row r="13" spans="1:43" x14ac:dyDescent="0.2">
      <c r="A13" s="9" t="s">
        <v>42</v>
      </c>
      <c r="B13" s="9" t="s">
        <v>43</v>
      </c>
      <c r="C13" s="20">
        <v>0.376</v>
      </c>
      <c r="D13">
        <v>0</v>
      </c>
      <c r="E13" s="11">
        <v>0.80600000000000005</v>
      </c>
      <c r="F13" s="10"/>
      <c r="G13" s="10"/>
      <c r="H13">
        <v>-5.8760000000000003</v>
      </c>
      <c r="I13">
        <v>-5.3490000000000002</v>
      </c>
      <c r="J13">
        <f t="shared" si="1"/>
        <v>0.52700000000000014</v>
      </c>
      <c r="K13" s="10">
        <v>0.40169297399999998</v>
      </c>
      <c r="L13">
        <v>0</v>
      </c>
      <c r="M13" s="21">
        <v>3.04E-2</v>
      </c>
      <c r="N13" s="16">
        <v>-6.8141479999999999E-3</v>
      </c>
      <c r="O13" s="16">
        <v>-1.3044635000000001E-2</v>
      </c>
      <c r="P13" s="16">
        <v>8.1898502999999997E-2</v>
      </c>
      <c r="Q13">
        <v>16.713999999999999</v>
      </c>
      <c r="R13">
        <v>-1233.097</v>
      </c>
      <c r="S13">
        <v>1</v>
      </c>
      <c r="T13">
        <v>0</v>
      </c>
      <c r="U13" s="13">
        <v>116.06</v>
      </c>
      <c r="V13" s="13">
        <v>106.66</v>
      </c>
      <c r="W13" s="13">
        <v>112.1</v>
      </c>
      <c r="X13" s="13">
        <v>111.58</v>
      </c>
      <c r="Y13" s="9" t="s">
        <v>42</v>
      </c>
      <c r="Z13" s="29" t="s">
        <v>43</v>
      </c>
      <c r="AA13" s="29" t="s">
        <v>43</v>
      </c>
      <c r="AB13" s="27">
        <v>-0.28000000000000003</v>
      </c>
      <c r="AC13" s="27">
        <v>-4.76</v>
      </c>
      <c r="AD13" s="27">
        <v>-2.2200000000000002</v>
      </c>
      <c r="AE13" s="27">
        <v>-0.77</v>
      </c>
      <c r="AF13" s="27">
        <v>-0.89</v>
      </c>
      <c r="AG13" s="27">
        <v>-1.71</v>
      </c>
      <c r="AH13" s="27">
        <v>-1.1100000000000001</v>
      </c>
      <c r="AI13" s="27">
        <v>-2.98</v>
      </c>
      <c r="AJ13" s="27">
        <v>-2.27</v>
      </c>
      <c r="AK13" s="27">
        <v>-1.84</v>
      </c>
      <c r="AL13" s="27">
        <v>-1.41</v>
      </c>
      <c r="AM13" s="27">
        <v>-2.6</v>
      </c>
      <c r="AN13" s="27">
        <v>-3.11</v>
      </c>
      <c r="AO13" s="27">
        <v>-0.57999999999999996</v>
      </c>
      <c r="AP13" s="27">
        <v>-4.09</v>
      </c>
      <c r="AQ13" s="27">
        <v>-4.07</v>
      </c>
    </row>
    <row r="14" spans="1:43" x14ac:dyDescent="0.2">
      <c r="A14" s="9" t="s">
        <v>44</v>
      </c>
      <c r="B14" s="9" t="s">
        <v>45</v>
      </c>
      <c r="C14" s="10">
        <v>7.9000000000000001E-2</v>
      </c>
      <c r="D14" s="10">
        <v>3.9602999999999999E-2</v>
      </c>
      <c r="E14" s="11">
        <v>1.6</v>
      </c>
      <c r="F14" s="10"/>
      <c r="G14" s="10"/>
      <c r="H14">
        <f>27.2114*-0.19871</f>
        <v>-5.4071772940000002</v>
      </c>
      <c r="I14">
        <f>27.2114*-0.17961</f>
        <v>-4.8874395540000002</v>
      </c>
      <c r="J14">
        <f t="shared" si="1"/>
        <v>0.51973774000000006</v>
      </c>
      <c r="K14" s="10">
        <v>0.63400000000000001</v>
      </c>
      <c r="L14" s="10">
        <v>3.9602999999999999E-2</v>
      </c>
      <c r="M14">
        <v>0.59399999999999997</v>
      </c>
      <c r="N14">
        <v>3.8962159084305198E-3</v>
      </c>
      <c r="O14">
        <v>3.0379830679787699E-3</v>
      </c>
      <c r="P14">
        <v>4.6109247963293997E-3</v>
      </c>
      <c r="Q14">
        <v>9.2777999999999992</v>
      </c>
      <c r="R14">
        <v>-400.57</v>
      </c>
      <c r="S14">
        <v>1</v>
      </c>
      <c r="T14">
        <v>0</v>
      </c>
      <c r="U14" s="13">
        <v>113.96</v>
      </c>
      <c r="V14" s="13">
        <v>108.36</v>
      </c>
      <c r="W14" s="13">
        <v>111.61</v>
      </c>
      <c r="X14" s="13">
        <v>110.67</v>
      </c>
      <c r="Y14" s="9" t="s">
        <v>44</v>
      </c>
      <c r="Z14" s="29" t="s">
        <v>45</v>
      </c>
      <c r="AA14" s="29" t="s">
        <v>45</v>
      </c>
      <c r="AB14" s="27">
        <v>0.06</v>
      </c>
      <c r="AC14" s="27">
        <v>-4.21</v>
      </c>
      <c r="AD14" s="27">
        <v>-1.32</v>
      </c>
      <c r="AE14" s="27">
        <v>-0.5</v>
      </c>
      <c r="AF14" s="27">
        <v>-0.38</v>
      </c>
      <c r="AG14" s="27">
        <v>-1.91</v>
      </c>
      <c r="AH14" s="27">
        <v>-4.8</v>
      </c>
      <c r="AI14" s="27">
        <v>-3.43</v>
      </c>
      <c r="AJ14" s="27">
        <v>-1.3</v>
      </c>
      <c r="AK14" s="27">
        <v>-1.43</v>
      </c>
      <c r="AL14" s="27">
        <v>-1.01</v>
      </c>
      <c r="AM14" s="27">
        <v>-2.8</v>
      </c>
      <c r="AN14" s="27">
        <v>-3.27</v>
      </c>
      <c r="AO14" s="27">
        <v>-0.2</v>
      </c>
      <c r="AP14" s="27">
        <v>-3.85</v>
      </c>
      <c r="AQ14" s="27">
        <v>-4.76</v>
      </c>
    </row>
    <row r="15" spans="1:43" x14ac:dyDescent="0.2">
      <c r="A15" s="9" t="s">
        <v>46</v>
      </c>
      <c r="B15" s="9" t="s">
        <v>47</v>
      </c>
      <c r="C15" s="10">
        <v>1.55E-2</v>
      </c>
      <c r="D15">
        <v>7.7999999999999996E-3</v>
      </c>
      <c r="E15" s="11">
        <v>1.28</v>
      </c>
      <c r="F15" s="10"/>
      <c r="G15" s="10"/>
      <c r="H15">
        <v>-4.8570000000000002</v>
      </c>
      <c r="I15">
        <v>-4.6189999999999998</v>
      </c>
      <c r="J15">
        <f t="shared" si="1"/>
        <v>0.23800000000000043</v>
      </c>
      <c r="K15" s="10">
        <v>0.505</v>
      </c>
      <c r="L15">
        <v>0.02</v>
      </c>
      <c r="M15">
        <v>0.48199999999999998</v>
      </c>
      <c r="N15" s="16">
        <v>-6.2210820000000002E-3</v>
      </c>
      <c r="O15" s="16">
        <v>-3.0945289999999999E-3</v>
      </c>
      <c r="P15" s="16">
        <v>2.7708749999999999E-3</v>
      </c>
      <c r="Q15">
        <v>44.816000000000003</v>
      </c>
      <c r="R15">
        <v>-923.49099999999999</v>
      </c>
      <c r="S15">
        <v>1</v>
      </c>
      <c r="T15">
        <v>0</v>
      </c>
      <c r="U15" s="13">
        <v>102.48</v>
      </c>
      <c r="V15" s="13">
        <v>120.57</v>
      </c>
      <c r="W15" s="13">
        <v>115.16</v>
      </c>
      <c r="X15" s="13">
        <v>107.92</v>
      </c>
      <c r="Y15" s="9" t="s">
        <v>46</v>
      </c>
      <c r="Z15" s="29" t="s">
        <v>47</v>
      </c>
      <c r="AA15" s="29" t="s">
        <v>47</v>
      </c>
      <c r="AB15" s="27">
        <v>-0.02</v>
      </c>
      <c r="AC15" s="27">
        <v>-4.08</v>
      </c>
      <c r="AD15" s="27">
        <v>-1.18</v>
      </c>
      <c r="AE15" s="27">
        <v>-0.42</v>
      </c>
      <c r="AF15" s="27">
        <v>-0.3</v>
      </c>
      <c r="AG15" s="27">
        <v>-1.7</v>
      </c>
      <c r="AH15" s="27">
        <v>-0.42</v>
      </c>
      <c r="AI15" s="27">
        <v>-3.13</v>
      </c>
      <c r="AJ15" s="27">
        <v>-1.51</v>
      </c>
      <c r="AK15" s="27">
        <v>-1.31</v>
      </c>
      <c r="AL15" s="27">
        <v>-0.71</v>
      </c>
      <c r="AM15" s="27">
        <v>-2.86</v>
      </c>
      <c r="AN15" s="27">
        <v>-2.83</v>
      </c>
      <c r="AO15" s="27">
        <v>-0.12</v>
      </c>
      <c r="AP15" s="27">
        <v>-5.26</v>
      </c>
      <c r="AQ15" s="27">
        <v>-5.39</v>
      </c>
    </row>
    <row r="16" spans="1:43" x14ac:dyDescent="0.2">
      <c r="A16" s="9" t="s">
        <v>48</v>
      </c>
      <c r="B16" s="9" t="s">
        <v>47</v>
      </c>
      <c r="C16" s="10">
        <v>0.11927</v>
      </c>
      <c r="D16">
        <v>5.9630000000000002E-2</v>
      </c>
      <c r="E16" s="11">
        <v>1.96</v>
      </c>
      <c r="F16" s="10"/>
      <c r="G16" s="10"/>
      <c r="H16">
        <f>-0.14204*27.2114</f>
        <v>-3.8651072559999999</v>
      </c>
      <c r="I16">
        <f>-0.12233*27.2114</f>
        <v>-3.3287705619999999</v>
      </c>
      <c r="J16">
        <f t="shared" si="1"/>
        <v>0.53633669400000006</v>
      </c>
      <c r="K16" s="10">
        <v>0.73599999999999999</v>
      </c>
      <c r="L16" s="10">
        <v>0.11927</v>
      </c>
      <c r="M16">
        <v>0.55700000000000005</v>
      </c>
      <c r="N16">
        <v>-5.8539699875497897E-2</v>
      </c>
      <c r="O16">
        <v>-5.8988226864682601E-2</v>
      </c>
      <c r="P16">
        <v>-6.33415408041203E-2</v>
      </c>
      <c r="Q16">
        <v>26.6843</v>
      </c>
      <c r="R16">
        <v>-1699.9</v>
      </c>
      <c r="S16">
        <v>1</v>
      </c>
      <c r="T16">
        <v>0</v>
      </c>
      <c r="U16" s="13">
        <v>47.707539204034198</v>
      </c>
      <c r="V16" s="13">
        <v>171.31794819456101</v>
      </c>
      <c r="W16" s="13">
        <v>112.38</v>
      </c>
      <c r="X16" s="13">
        <v>112.46</v>
      </c>
      <c r="Y16" s="9" t="s">
        <v>48</v>
      </c>
      <c r="Z16" s="30" t="s">
        <v>47</v>
      </c>
      <c r="AA16" s="30" t="s">
        <v>47</v>
      </c>
      <c r="AB16" s="27">
        <v>-0.02</v>
      </c>
      <c r="AC16" s="27">
        <v>-4.08</v>
      </c>
      <c r="AD16" s="27">
        <v>-1.18</v>
      </c>
      <c r="AE16" s="27">
        <v>-0.42</v>
      </c>
      <c r="AF16" s="27">
        <v>-0.3</v>
      </c>
      <c r="AG16" s="27">
        <v>-1.7</v>
      </c>
      <c r="AH16" s="27">
        <v>-0.42</v>
      </c>
      <c r="AI16" s="27">
        <v>-3.13</v>
      </c>
      <c r="AJ16" s="27">
        <v>-1.51</v>
      </c>
      <c r="AK16" s="27">
        <v>-1.31</v>
      </c>
      <c r="AL16" s="27">
        <v>-0.71</v>
      </c>
      <c r="AM16" s="27">
        <v>-2.86</v>
      </c>
      <c r="AN16" s="27">
        <v>-2.83</v>
      </c>
      <c r="AO16" s="27">
        <v>-0.12</v>
      </c>
      <c r="AP16" s="27">
        <v>-5.26</v>
      </c>
      <c r="AQ16" s="27">
        <v>-5.39</v>
      </c>
    </row>
    <row r="17" spans="1:43" x14ac:dyDescent="0.2">
      <c r="A17" s="9" t="s">
        <v>49</v>
      </c>
      <c r="B17" s="9" t="s">
        <v>50</v>
      </c>
      <c r="C17" s="10">
        <v>0</v>
      </c>
      <c r="D17">
        <v>0</v>
      </c>
      <c r="E17" s="11">
        <v>1.32</v>
      </c>
      <c r="F17" s="10"/>
      <c r="G17" s="10"/>
      <c r="H17">
        <f>27.2114*-0.17928</f>
        <v>-4.8784597920000001</v>
      </c>
      <c r="I17">
        <f>27.2114*-0.16359</f>
        <v>-4.4515129260000004</v>
      </c>
      <c r="J17">
        <f>ABS(H17-I17)</f>
        <v>0.42694686599999976</v>
      </c>
      <c r="K17" s="10">
        <v>0.53100000000000003</v>
      </c>
      <c r="L17">
        <v>0</v>
      </c>
      <c r="M17" s="10">
        <v>0.53100000000000003</v>
      </c>
      <c r="N17">
        <v>-3.9962781471538696E-3</v>
      </c>
      <c r="O17">
        <v>-3.9605567299795703E-3</v>
      </c>
      <c r="P17">
        <v>-3.9206397451967204E-3</v>
      </c>
      <c r="Q17">
        <v>13.656499999999999</v>
      </c>
      <c r="R17">
        <v>-463.45690000000002</v>
      </c>
      <c r="S17">
        <v>1</v>
      </c>
      <c r="T17">
        <v>0</v>
      </c>
      <c r="U17" s="13">
        <v>114.72</v>
      </c>
      <c r="V17" s="13">
        <v>109.15</v>
      </c>
      <c r="W17" s="13">
        <v>112.02</v>
      </c>
      <c r="X17" s="13">
        <v>111.8</v>
      </c>
      <c r="Y17" s="9" t="s">
        <v>49</v>
      </c>
      <c r="Z17" s="29" t="s">
        <v>50</v>
      </c>
      <c r="AA17" s="29" t="s">
        <v>50</v>
      </c>
      <c r="AB17" s="27">
        <v>-0.05</v>
      </c>
      <c r="AC17" s="27">
        <v>-4.09</v>
      </c>
      <c r="AD17" s="27">
        <v>-1.63</v>
      </c>
      <c r="AE17" s="27">
        <v>0</v>
      </c>
      <c r="AF17" s="27">
        <v>-0.36</v>
      </c>
      <c r="AG17" s="27">
        <v>-2.0299999999999998</v>
      </c>
      <c r="AH17" s="27">
        <v>-0.86</v>
      </c>
      <c r="AI17" s="27">
        <v>-3.12</v>
      </c>
      <c r="AJ17" s="27">
        <v>-1.64</v>
      </c>
      <c r="AK17" s="27">
        <v>-1.43</v>
      </c>
      <c r="AL17" s="27">
        <v>-0.72</v>
      </c>
      <c r="AM17" s="27">
        <v>-3.06</v>
      </c>
      <c r="AN17" s="27">
        <v>-3.55</v>
      </c>
      <c r="AO17" s="27">
        <v>-0.16</v>
      </c>
      <c r="AP17" s="27">
        <v>-4.78</v>
      </c>
      <c r="AQ17" s="27">
        <v>-4.82</v>
      </c>
    </row>
    <row r="18" spans="1:43" x14ac:dyDescent="0.2">
      <c r="A18" s="9" t="s">
        <v>51</v>
      </c>
      <c r="B18" s="9" t="s">
        <v>52</v>
      </c>
      <c r="C18" s="12">
        <v>2.5999999999999999E-2</v>
      </c>
      <c r="D18">
        <v>8.0000000000000002E-3</v>
      </c>
      <c r="E18" s="11">
        <v>1.2522197159999999</v>
      </c>
      <c r="F18" s="10"/>
      <c r="G18" s="10"/>
      <c r="H18">
        <v>-5.2190000000000003</v>
      </c>
      <c r="I18">
        <v>-4.7329999999999997</v>
      </c>
      <c r="J18">
        <f t="shared" si="1"/>
        <v>0.48600000000000065</v>
      </c>
      <c r="K18" s="10">
        <v>0.50190871800000003</v>
      </c>
      <c r="L18">
        <v>8.0000000000000002E-3</v>
      </c>
      <c r="M18">
        <v>0.47599999999999998</v>
      </c>
      <c r="N18" s="12">
        <v>4.20753E-4</v>
      </c>
      <c r="O18" s="12">
        <v>1.6981609999999999E-3</v>
      </c>
      <c r="P18" s="12">
        <v>2.4058529999999999E-3</v>
      </c>
      <c r="Q18">
        <v>20.643999999999998</v>
      </c>
      <c r="R18">
        <v>-646.53</v>
      </c>
      <c r="S18">
        <v>1</v>
      </c>
      <c r="T18">
        <v>0</v>
      </c>
      <c r="U18" s="13">
        <v>112.16</v>
      </c>
      <c r="V18" s="13">
        <v>109.59</v>
      </c>
      <c r="W18" s="13">
        <v>111.39</v>
      </c>
      <c r="X18" s="13">
        <v>110.24</v>
      </c>
      <c r="Y18" s="9" t="s">
        <v>51</v>
      </c>
      <c r="Z18" s="29" t="s">
        <v>52</v>
      </c>
      <c r="AA18" s="29" t="s">
        <v>52</v>
      </c>
      <c r="AB18" s="27">
        <v>0.13</v>
      </c>
      <c r="AC18" s="27">
        <v>-3.61</v>
      </c>
      <c r="AD18" s="27">
        <v>-1.57</v>
      </c>
      <c r="AE18" s="27">
        <v>0.1</v>
      </c>
      <c r="AF18" s="27">
        <v>-0.45</v>
      </c>
      <c r="AG18" s="27">
        <v>-1.41</v>
      </c>
      <c r="AH18" s="27">
        <v>-0.32</v>
      </c>
      <c r="AI18" s="27">
        <v>-2.6</v>
      </c>
      <c r="AJ18" s="27">
        <v>-1.34</v>
      </c>
      <c r="AK18" s="27">
        <v>-1.35</v>
      </c>
      <c r="AL18" s="27">
        <v>-0.53</v>
      </c>
      <c r="AM18" s="27">
        <v>-2.6</v>
      </c>
      <c r="AN18" s="27">
        <v>-3.57</v>
      </c>
      <c r="AO18" s="27">
        <v>-0.17</v>
      </c>
      <c r="AP18" s="27">
        <v>-4.03</v>
      </c>
      <c r="AQ18" s="27">
        <v>-4.25</v>
      </c>
    </row>
    <row r="19" spans="1:43" x14ac:dyDescent="0.2">
      <c r="A19" s="9" t="s">
        <v>53</v>
      </c>
      <c r="B19" s="9" t="s">
        <v>52</v>
      </c>
      <c r="C19" s="10">
        <v>0.167826526</v>
      </c>
      <c r="D19" s="12">
        <v>5.6000000000000001E-2</v>
      </c>
      <c r="E19" s="11">
        <v>1.638173364</v>
      </c>
      <c r="F19" s="10"/>
      <c r="G19" s="10"/>
      <c r="H19">
        <v>-4.6529999999999996</v>
      </c>
      <c r="I19">
        <v>-4.2110000000000003</v>
      </c>
      <c r="J19">
        <f t="shared" si="1"/>
        <v>0.44199999999999928</v>
      </c>
      <c r="K19" s="10">
        <v>0.66198240699999999</v>
      </c>
      <c r="L19">
        <v>5.6000000000000001E-2</v>
      </c>
      <c r="M19">
        <v>0.49399999999999999</v>
      </c>
      <c r="N19" s="12">
        <v>2.7841490000000001E-3</v>
      </c>
      <c r="O19" s="12">
        <v>3.8668439999999999E-3</v>
      </c>
      <c r="P19" s="12">
        <v>1.0586973E-2</v>
      </c>
      <c r="Q19">
        <v>22.033999999999999</v>
      </c>
      <c r="R19">
        <v>-747.23500000000001</v>
      </c>
      <c r="S19">
        <v>1</v>
      </c>
      <c r="T19">
        <v>0</v>
      </c>
      <c r="U19" s="13">
        <v>114.9</v>
      </c>
      <c r="V19" s="13">
        <v>107.8</v>
      </c>
      <c r="W19" s="13">
        <v>111.19</v>
      </c>
      <c r="X19" s="13">
        <v>111.43</v>
      </c>
      <c r="Y19" s="9" t="s">
        <v>53</v>
      </c>
      <c r="Z19" s="30" t="s">
        <v>52</v>
      </c>
      <c r="AA19" s="30" t="s">
        <v>52</v>
      </c>
      <c r="AB19" s="27">
        <v>0.13</v>
      </c>
      <c r="AC19" s="27">
        <v>-3.61</v>
      </c>
      <c r="AD19" s="27">
        <v>-1.57</v>
      </c>
      <c r="AE19" s="27">
        <v>0.1</v>
      </c>
      <c r="AF19" s="27">
        <v>-0.45</v>
      </c>
      <c r="AG19" s="27">
        <v>-1.41</v>
      </c>
      <c r="AH19" s="27">
        <v>-0.32</v>
      </c>
      <c r="AI19" s="27">
        <v>-2.6</v>
      </c>
      <c r="AJ19" s="27">
        <v>-1.34</v>
      </c>
      <c r="AK19" s="27">
        <v>-1.35</v>
      </c>
      <c r="AL19" s="27">
        <v>-0.53</v>
      </c>
      <c r="AM19" s="27">
        <v>-2.6</v>
      </c>
      <c r="AN19" s="27">
        <v>-3.57</v>
      </c>
      <c r="AO19" s="27">
        <v>-0.17</v>
      </c>
      <c r="AP19" s="27">
        <v>-4.03</v>
      </c>
      <c r="AQ19" s="27">
        <v>-4.25</v>
      </c>
    </row>
    <row r="20" spans="1:43" x14ac:dyDescent="0.2">
      <c r="A20" s="9" t="s">
        <v>54</v>
      </c>
      <c r="B20" s="9" t="s">
        <v>55</v>
      </c>
      <c r="C20" s="10">
        <v>0.1193</v>
      </c>
      <c r="D20">
        <v>7.954E-2</v>
      </c>
      <c r="E20" s="11">
        <v>1.75</v>
      </c>
      <c r="F20" s="10"/>
      <c r="G20" s="10"/>
      <c r="H20">
        <f>27.2114*-0.20454</f>
        <v>-5.5658197559999998</v>
      </c>
      <c r="I20">
        <f>27.2114*-0.18515</f>
        <v>-5.0381907100000003</v>
      </c>
      <c r="J20">
        <f t="shared" si="1"/>
        <v>0.52762904599999949</v>
      </c>
      <c r="K20" s="10">
        <v>0.67610000000000003</v>
      </c>
      <c r="L20">
        <v>7.954E-2</v>
      </c>
      <c r="M20">
        <v>0.55700000000000005</v>
      </c>
      <c r="N20">
        <v>2.6180768740577702E-3</v>
      </c>
      <c r="O20">
        <v>2.0369095473014901E-3</v>
      </c>
      <c r="P20">
        <v>3.29633080392191E-3</v>
      </c>
      <c r="Q20">
        <v>32.614899999999999</v>
      </c>
      <c r="R20">
        <v>-582.197</v>
      </c>
      <c r="S20">
        <v>1</v>
      </c>
      <c r="T20">
        <v>0</v>
      </c>
      <c r="U20" s="13">
        <v>112.64</v>
      </c>
      <c r="V20" s="13">
        <v>110.01</v>
      </c>
      <c r="W20" s="13">
        <v>111.97</v>
      </c>
      <c r="X20" s="13">
        <v>110.39</v>
      </c>
      <c r="Y20" s="9" t="s">
        <v>54</v>
      </c>
      <c r="Z20" s="29" t="s">
        <v>55</v>
      </c>
      <c r="AA20" s="29" t="s">
        <v>55</v>
      </c>
      <c r="AB20" s="27">
        <v>0.33</v>
      </c>
      <c r="AC20" s="27">
        <v>-2.78</v>
      </c>
      <c r="AD20" s="27">
        <v>-0.36</v>
      </c>
      <c r="AE20" s="27">
        <v>-7.02</v>
      </c>
      <c r="AF20" s="27">
        <v>0.03</v>
      </c>
      <c r="AG20" s="27">
        <v>-1.08</v>
      </c>
      <c r="AH20" s="27">
        <v>-5.65</v>
      </c>
      <c r="AI20" s="27">
        <v>-0.99</v>
      </c>
      <c r="AJ20" s="27">
        <v>-7.0000000000000007E-2</v>
      </c>
      <c r="AK20" s="27">
        <v>0.05</v>
      </c>
      <c r="AL20" s="27">
        <v>-1.33</v>
      </c>
      <c r="AM20" s="27">
        <v>-0.44</v>
      </c>
      <c r="AN20" s="27">
        <v>-2.2200000000000002</v>
      </c>
      <c r="AO20" s="27">
        <v>0.04</v>
      </c>
      <c r="AP20" s="27">
        <v>-1.19</v>
      </c>
      <c r="AQ20" s="27">
        <v>-0.67</v>
      </c>
    </row>
    <row r="21" spans="1:43" x14ac:dyDescent="0.2">
      <c r="A21" t="s">
        <v>56</v>
      </c>
      <c r="B21" s="9" t="s">
        <v>57</v>
      </c>
      <c r="C21" s="10">
        <v>6.7500000000000004E-2</v>
      </c>
      <c r="D21">
        <v>4.7280000000000003E-2</v>
      </c>
      <c r="E21" s="11">
        <v>1.35</v>
      </c>
      <c r="G21" s="10"/>
      <c r="H21">
        <f>27.2114*-0.1565</f>
        <v>-4.2585841000000002</v>
      </c>
      <c r="I21">
        <f>27.2114*-0.1396</f>
        <v>-3.7987114400000004</v>
      </c>
      <c r="J21">
        <f t="shared" si="1"/>
        <v>0.45987265999999982</v>
      </c>
      <c r="K21" s="10">
        <v>0.52680000000000005</v>
      </c>
      <c r="L21">
        <v>4.7280000000000003E-2</v>
      </c>
      <c r="M21">
        <v>0.41870000000000002</v>
      </c>
      <c r="N21">
        <v>-3.01996113052314E-2</v>
      </c>
      <c r="O21">
        <v>-1.2051964279514001E-2</v>
      </c>
      <c r="P21">
        <v>-2.0044192422399101E-2</v>
      </c>
      <c r="Q21">
        <v>6.1863999999999999</v>
      </c>
      <c r="R21">
        <v>-399.86399999999998</v>
      </c>
      <c r="S21">
        <v>1</v>
      </c>
      <c r="T21">
        <v>0</v>
      </c>
      <c r="U21" s="13">
        <v>108.45</v>
      </c>
      <c r="V21" s="13">
        <v>113.94</v>
      </c>
      <c r="W21" s="13">
        <v>111.73</v>
      </c>
      <c r="X21" s="13">
        <v>111.06</v>
      </c>
      <c r="Y21" t="s">
        <v>56</v>
      </c>
      <c r="Z21" s="29" t="s">
        <v>57</v>
      </c>
      <c r="AA21" s="29" t="s">
        <v>57</v>
      </c>
      <c r="AB21" s="27">
        <v>0.22</v>
      </c>
      <c r="AC21" s="27">
        <v>-2.95</v>
      </c>
      <c r="AD21" s="27">
        <v>-0.97</v>
      </c>
      <c r="AE21" s="27">
        <v>-1.65</v>
      </c>
      <c r="AF21" s="27">
        <v>-0.18</v>
      </c>
      <c r="AG21" s="27">
        <v>-1.0900000000000001</v>
      </c>
      <c r="AH21" s="27">
        <v>-3.89</v>
      </c>
      <c r="AI21" s="27">
        <v>-1.54</v>
      </c>
      <c r="AJ21" s="27">
        <v>-0.21</v>
      </c>
      <c r="AK21" s="27">
        <v>-0.21</v>
      </c>
      <c r="AL21" s="27">
        <v>-1.27</v>
      </c>
      <c r="AM21" s="27">
        <v>-0.61</v>
      </c>
      <c r="AN21" s="27">
        <v>-2.74</v>
      </c>
      <c r="AO21" s="27">
        <v>-0.06</v>
      </c>
      <c r="AP21" s="27">
        <v>-1.51</v>
      </c>
      <c r="AQ21" s="27">
        <v>-1.48</v>
      </c>
    </row>
    <row r="22" spans="1:43" x14ac:dyDescent="0.2">
      <c r="A22" t="s">
        <v>58</v>
      </c>
      <c r="B22" s="9" t="s">
        <v>59</v>
      </c>
      <c r="C22" s="10">
        <v>0.16800000000000001</v>
      </c>
      <c r="D22">
        <v>0.11</v>
      </c>
      <c r="E22" s="11">
        <v>1.7384889240000001</v>
      </c>
      <c r="G22" s="10"/>
      <c r="H22">
        <v>-4.516</v>
      </c>
      <c r="I22">
        <v>-3.2559999999999998</v>
      </c>
      <c r="J22">
        <f t="shared" si="1"/>
        <v>1.2600000000000002</v>
      </c>
      <c r="K22" s="10">
        <v>0.659475217</v>
      </c>
      <c r="L22">
        <v>0.11</v>
      </c>
      <c r="M22">
        <v>0.49099999999999999</v>
      </c>
      <c r="N22" s="12">
        <v>-3.2120679879204798E-2</v>
      </c>
      <c r="O22" s="12">
        <v>-1.82458561917162E-2</v>
      </c>
      <c r="P22" s="12">
        <v>-2.57511327861836E-2</v>
      </c>
      <c r="Q22" s="10">
        <v>2.4710000000000001</v>
      </c>
      <c r="R22">
        <v>-330.05900000000003</v>
      </c>
      <c r="S22">
        <v>1</v>
      </c>
      <c r="T22">
        <v>0</v>
      </c>
      <c r="U22" s="13">
        <v>107.26</v>
      </c>
      <c r="V22" s="13">
        <v>114.76</v>
      </c>
      <c r="W22" s="13">
        <v>110.53</v>
      </c>
      <c r="X22" s="13">
        <v>111.88</v>
      </c>
      <c r="Y22" t="s">
        <v>58</v>
      </c>
      <c r="Z22" s="29" t="s">
        <v>59</v>
      </c>
      <c r="AA22" s="29" t="s">
        <v>59</v>
      </c>
      <c r="AB22" s="27">
        <v>-0.72</v>
      </c>
      <c r="AC22" s="27">
        <v>-5.78</v>
      </c>
      <c r="AD22" s="27">
        <v>-2.94</v>
      </c>
      <c r="AE22" s="27">
        <v>-0.67</v>
      </c>
      <c r="AF22" s="27">
        <v>-1.65</v>
      </c>
      <c r="AG22" s="27">
        <v>-3.62</v>
      </c>
      <c r="AH22" s="27">
        <v>-1.62</v>
      </c>
      <c r="AI22" s="27">
        <v>-5.7</v>
      </c>
      <c r="AJ22" s="27">
        <v>-4.1399999999999997</v>
      </c>
      <c r="AK22" s="27">
        <v>-4.01</v>
      </c>
      <c r="AL22" s="27">
        <v>-2</v>
      </c>
      <c r="AM22" s="27">
        <v>-6.82</v>
      </c>
      <c r="AN22" s="27">
        <v>-5.86</v>
      </c>
      <c r="AO22" s="27">
        <v>-1.1100000000000001</v>
      </c>
      <c r="AP22" s="27">
        <v>-9.9600000000000009</v>
      </c>
      <c r="AQ22" s="27">
        <v>-8.76</v>
      </c>
    </row>
    <row r="23" spans="1:43" x14ac:dyDescent="0.2">
      <c r="A23" s="9" t="s">
        <v>60</v>
      </c>
      <c r="B23" s="9" t="s">
        <v>60</v>
      </c>
      <c r="C23" s="10">
        <v>0</v>
      </c>
      <c r="D23">
        <v>0</v>
      </c>
      <c r="E23" s="11">
        <v>1.17</v>
      </c>
      <c r="G23" s="10"/>
      <c r="H23">
        <v>-6.0259999999999998</v>
      </c>
      <c r="I23">
        <v>-5.5970000000000004</v>
      </c>
      <c r="J23">
        <f t="shared" si="1"/>
        <v>0.42899999999999938</v>
      </c>
      <c r="K23" s="10">
        <v>0.46899999999999997</v>
      </c>
      <c r="L23">
        <v>0</v>
      </c>
      <c r="M23">
        <v>0.46899999999999997</v>
      </c>
      <c r="N23" s="16">
        <v>1.187603E-3</v>
      </c>
      <c r="O23" s="22">
        <v>-1.9538299999999999E-8</v>
      </c>
      <c r="P23" s="22">
        <v>2.8922500000000002E-18</v>
      </c>
      <c r="Q23">
        <v>1.2999999999999999E-2</v>
      </c>
      <c r="R23">
        <v>-481.64600000000002</v>
      </c>
      <c r="S23">
        <v>1</v>
      </c>
      <c r="T23">
        <v>0</v>
      </c>
      <c r="U23" s="13">
        <v>116.13</v>
      </c>
      <c r="V23" s="13">
        <v>107.97</v>
      </c>
      <c r="W23" s="13">
        <v>112.88</v>
      </c>
      <c r="X23" s="13">
        <v>112.54</v>
      </c>
      <c r="Y23" s="9" t="s">
        <v>60</v>
      </c>
      <c r="Z23" s="29" t="s">
        <v>60</v>
      </c>
      <c r="AA23" s="29" t="s">
        <v>60</v>
      </c>
      <c r="AB23" s="27">
        <v>-0.28000000000000003</v>
      </c>
      <c r="AC23" s="27">
        <v>-6.55</v>
      </c>
      <c r="AD23" s="27">
        <v>-2.57</v>
      </c>
      <c r="AE23" s="27">
        <v>-0.65</v>
      </c>
      <c r="AF23" s="27">
        <v>-1.1200000000000001</v>
      </c>
      <c r="AG23" s="27">
        <v>-3.06</v>
      </c>
      <c r="AH23" s="27">
        <v>-1.26</v>
      </c>
      <c r="AI23" s="27">
        <v>-5.15</v>
      </c>
      <c r="AJ23" s="27">
        <v>-3.09</v>
      </c>
      <c r="AK23" s="27">
        <v>-2.4900000000000002</v>
      </c>
      <c r="AL23" s="27">
        <v>-2.02</v>
      </c>
      <c r="AM23" s="27">
        <v>-5.94</v>
      </c>
      <c r="AN23" s="27">
        <v>-5.28</v>
      </c>
      <c r="AO23" s="27">
        <v>-0.82</v>
      </c>
      <c r="AP23" s="27">
        <v>-9.41</v>
      </c>
      <c r="AQ23" s="27">
        <v>-8.24</v>
      </c>
    </row>
    <row r="24" spans="1:43" x14ac:dyDescent="0.2">
      <c r="A24" s="23" t="s">
        <v>61</v>
      </c>
      <c r="C24" s="10">
        <v>0.2535</v>
      </c>
      <c r="D24">
        <v>8.4500000000000006E-2</v>
      </c>
      <c r="E24" s="11">
        <v>2.5</v>
      </c>
      <c r="G24" s="10"/>
      <c r="H24">
        <f>-0.19682*27.2114</f>
        <v>-5.3557477479999998</v>
      </c>
      <c r="I24">
        <f>-0.18043*27.2114</f>
        <v>-4.9097529020000001</v>
      </c>
      <c r="J24">
        <f t="shared" si="1"/>
        <v>0.44599484599999961</v>
      </c>
      <c r="K24" s="10">
        <v>0.92949999999999999</v>
      </c>
      <c r="L24">
        <v>0.16900000000000001</v>
      </c>
      <c r="M24">
        <v>0.59199999999999997</v>
      </c>
      <c r="N24">
        <v>3.9156271700964002E-3</v>
      </c>
      <c r="O24" s="24">
        <v>1.71673750617105E-3</v>
      </c>
      <c r="P24">
        <v>3.14059732229291E-3</v>
      </c>
      <c r="Q24">
        <v>33.698999999999998</v>
      </c>
      <c r="R24">
        <v>-630.08550000000002</v>
      </c>
      <c r="S24">
        <v>1</v>
      </c>
      <c r="T24">
        <v>0</v>
      </c>
      <c r="U24" s="13">
        <v>116.63</v>
      </c>
      <c r="V24" s="13">
        <v>105.72</v>
      </c>
      <c r="W24" s="13">
        <v>111.94</v>
      </c>
      <c r="X24" s="13">
        <v>110.01</v>
      </c>
      <c r="Y24" s="23" t="s">
        <v>61</v>
      </c>
    </row>
    <row r="25" spans="1:43" x14ac:dyDescent="0.2">
      <c r="A25" s="23" t="s">
        <v>62</v>
      </c>
      <c r="C25" s="16">
        <v>3.4000000000000002E-2</v>
      </c>
      <c r="D25">
        <v>8.5000000000000006E-3</v>
      </c>
      <c r="E25" s="11">
        <v>1.25</v>
      </c>
      <c r="G25" s="10"/>
      <c r="H25">
        <v>-5.2069999999999999</v>
      </c>
      <c r="I25">
        <v>-4.9909999999999997</v>
      </c>
      <c r="J25">
        <f t="shared" si="1"/>
        <v>0.21600000000000019</v>
      </c>
      <c r="K25" s="10">
        <v>0.49399999999999999</v>
      </c>
      <c r="L25">
        <v>1.7000000000000001E-2</v>
      </c>
      <c r="M25">
        <v>0.46</v>
      </c>
      <c r="N25" s="16">
        <v>-1.1833740000000001E-3</v>
      </c>
      <c r="O25" s="16">
        <v>1.149214E-3</v>
      </c>
      <c r="P25" s="16">
        <v>6.4961389999999997E-3</v>
      </c>
      <c r="Q25">
        <v>10.999000000000001</v>
      </c>
      <c r="R25">
        <v>-711.25400000000002</v>
      </c>
      <c r="S25">
        <v>1</v>
      </c>
      <c r="T25">
        <v>0</v>
      </c>
      <c r="U25" s="13">
        <v>113.9</v>
      </c>
      <c r="V25" s="13">
        <v>108.24</v>
      </c>
      <c r="W25" s="13">
        <v>108.29</v>
      </c>
      <c r="X25" s="13">
        <v>113.54</v>
      </c>
      <c r="Y25" s="23" t="s">
        <v>62</v>
      </c>
    </row>
    <row r="26" spans="1:43" x14ac:dyDescent="0.2">
      <c r="A26" s="25" t="s">
        <v>63</v>
      </c>
      <c r="C26" s="10">
        <v>3.5999446999999997E-2</v>
      </c>
      <c r="D26" s="26">
        <v>8.9998620000000008E-3</v>
      </c>
      <c r="E26" s="11">
        <v>1.3436793650000001</v>
      </c>
      <c r="G26" s="10"/>
      <c r="H26">
        <v>-5.4</v>
      </c>
      <c r="I26">
        <v>-5.0069999999999997</v>
      </c>
      <c r="J26">
        <f t="shared" si="1"/>
        <v>0.39300000000000068</v>
      </c>
      <c r="K26" s="10">
        <v>0.53999170699999999</v>
      </c>
      <c r="L26" s="26">
        <v>8.9998620000000008E-3</v>
      </c>
      <c r="M26" s="10">
        <v>0.50399225999999997</v>
      </c>
      <c r="N26" s="12">
        <v>9.5432729999999997E-3</v>
      </c>
      <c r="O26" s="12">
        <v>1.0964369999999999E-2</v>
      </c>
      <c r="P26" s="12">
        <v>1.2571852999999999E-2</v>
      </c>
      <c r="Q26">
        <v>34.802999999999997</v>
      </c>
      <c r="R26">
        <v>-739.64</v>
      </c>
      <c r="S26">
        <v>1</v>
      </c>
      <c r="T26">
        <v>0</v>
      </c>
      <c r="U26" s="13">
        <v>123.03</v>
      </c>
      <c r="V26" s="13">
        <v>99.66</v>
      </c>
      <c r="W26" s="13">
        <v>106.81</v>
      </c>
      <c r="X26" s="13">
        <v>115.61</v>
      </c>
      <c r="Y26" s="25" t="s">
        <v>63</v>
      </c>
    </row>
    <row r="27" spans="1:43" x14ac:dyDescent="0.2">
      <c r="A27" s="25" t="s">
        <v>64</v>
      </c>
      <c r="C27" s="10">
        <v>0.12840699</v>
      </c>
      <c r="D27" s="26">
        <v>3.2101747999999999E-2</v>
      </c>
      <c r="E27" s="11">
        <v>1.5291132409999999</v>
      </c>
      <c r="G27" s="10"/>
      <c r="H27">
        <v>-5.7729999999999997</v>
      </c>
      <c r="I27">
        <v>-5.3150000000000004</v>
      </c>
      <c r="J27">
        <f t="shared" si="1"/>
        <v>0.4579999999999993</v>
      </c>
      <c r="K27" s="10">
        <v>0.62063378599999997</v>
      </c>
      <c r="L27" s="26">
        <v>3.2101747999999999E-2</v>
      </c>
      <c r="M27" s="10">
        <v>0.49222679600000002</v>
      </c>
      <c r="N27" s="12">
        <v>3.1664093999999997E-2</v>
      </c>
      <c r="O27" s="12">
        <v>2.8963459E-2</v>
      </c>
      <c r="P27" s="12">
        <v>3.0553436999999999E-2</v>
      </c>
      <c r="Q27">
        <v>44.075000000000003</v>
      </c>
      <c r="R27">
        <v>-371.26</v>
      </c>
      <c r="S27">
        <v>1</v>
      </c>
      <c r="T27">
        <v>0</v>
      </c>
      <c r="U27" s="13">
        <v>138.85</v>
      </c>
      <c r="V27" s="13">
        <v>83.76</v>
      </c>
      <c r="W27" s="13">
        <v>108.38</v>
      </c>
      <c r="X27" s="13">
        <v>114.83</v>
      </c>
      <c r="Y27" s="25" t="s">
        <v>64</v>
      </c>
    </row>
    <row r="28" spans="1:43" x14ac:dyDescent="0.2">
      <c r="A28" s="23" t="s">
        <v>65</v>
      </c>
      <c r="B28" s="9" t="s">
        <v>66</v>
      </c>
      <c r="C28" s="10">
        <v>0.253</v>
      </c>
      <c r="D28">
        <v>5.33E-2</v>
      </c>
      <c r="E28" s="11">
        <v>1.544</v>
      </c>
      <c r="G28" s="10"/>
      <c r="H28">
        <v>-0.23896999999999999</v>
      </c>
      <c r="I28">
        <v>-0.22922999999999999</v>
      </c>
      <c r="J28">
        <f t="shared" si="1"/>
        <v>9.7399999999999987E-3</v>
      </c>
      <c r="K28" s="10">
        <v>0.5464</v>
      </c>
      <c r="L28">
        <v>0.34649999999999997</v>
      </c>
      <c r="M28">
        <v>0</v>
      </c>
      <c r="N28">
        <v>-2.9885137222576599E-2</v>
      </c>
      <c r="O28">
        <v>-5.7339011264998498E-2</v>
      </c>
      <c r="P28">
        <v>-1.50649140025657E-2</v>
      </c>
      <c r="Q28">
        <v>57.898200000000003</v>
      </c>
      <c r="R28">
        <v>-523.96600000000001</v>
      </c>
      <c r="S28">
        <v>0.73</v>
      </c>
      <c r="T28">
        <v>0.27</v>
      </c>
      <c r="U28" s="13">
        <v>109.63</v>
      </c>
      <c r="V28" s="13">
        <v>111.84</v>
      </c>
      <c r="W28" s="13">
        <v>113.06</v>
      </c>
      <c r="X28" s="13">
        <v>109.96</v>
      </c>
      <c r="Y28" s="23" t="s">
        <v>65</v>
      </c>
      <c r="Z28" s="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Orginal</vt:lpstr>
      <vt:lpstr>To_Calc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2022-10-27T18:56:06Z</dcterms:created>
  <dcterms:modified xsi:type="dcterms:W3CDTF">2022-10-27T19:06:41Z</dcterms:modified>
</cp:coreProperties>
</file>